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V:\DOCS\ИБМБ\GMPL\TABLETOP\WITHCHER TRPG\Краткие советы\Расчет\"/>
    </mc:Choice>
  </mc:AlternateContent>
  <xr:revisionPtr revIDLastSave="0" documentId="13_ncr:1_{9F9C57F2-101F-4226-8B0C-94C9FE55B262}" xr6:coauthVersionLast="37" xr6:coauthVersionMax="37" xr10:uidLastSave="{00000000-0000-0000-0000-000000000000}"/>
  <bookViews>
    <workbookView xWindow="0" yWindow="0" windowWidth="20490" windowHeight="6075" xr2:uid="{00000000-000D-0000-FFFF-FFFF00000000}"/>
  </bookViews>
  <sheets>
    <sheet name="Combat calc" sheetId="1" r:id="rId1"/>
    <sheet name="Lists" sheetId="2" r:id="rId2"/>
  </sheets>
  <functionGroups builtInGroupCount="19"/>
  <definedNames>
    <definedName name="attack_effect">'Combat calc'!$B$8</definedName>
    <definedName name="attacks">Lists!$AN$2:$AS$25</definedName>
    <definedName name="attacks_list">Lists!$AN$2:$AN$25</definedName>
    <definedName name="body">Lists!$BG$2:$BH$8</definedName>
    <definedName name="crit_wound">Lists!$P$1:$S$12</definedName>
    <definedName name="crit_wound_effect">Lists!$BJ$2:$BM$25</definedName>
    <definedName name="critical">Lists!$AV$2:$AX$5</definedName>
    <definedName name="critical_list">Lists!$AV$2:$AV$5</definedName>
    <definedName name="defense">Lists!$AI$2:$AL$13</definedName>
    <definedName name="defense_list">Lists!$AI$2:$AI$13</definedName>
    <definedName name="dmg_body_mod">'Combat calc'!$H$30</definedName>
    <definedName name="dmg_crit_bonus">'Combat calc'!$H$26:$H$28</definedName>
    <definedName name="dmg_location_mult">'Combat calc'!$H$33</definedName>
    <definedName name="dmg_oil_silver_bonus">'Combat calc'!$H$35</definedName>
    <definedName name="dmg_resist_mult">'Combat calc'!$H$34</definedName>
    <definedName name="dmg_strike_mult">'Combat calc'!$H$31</definedName>
    <definedName name="dmg_total">'Combat calc'!$H$36</definedName>
    <definedName name="dmg_total_sp">'Combat calc'!$H$32</definedName>
    <definedName name="dmg_weapon">'Combat calc'!$H$29</definedName>
    <definedName name="hit_loc_crit">Lists!$M$2:$O$12</definedName>
    <definedName name="hit_loc_crit_aimed_head">Lists!$L$11:$O$12</definedName>
    <definedName name="hit_loc_crit_aimed_torso">Lists!$L$6:$O$9</definedName>
    <definedName name="hit_loc_crit_aimed_type">Lists!$L$1:$L$12</definedName>
    <definedName name="hit_loc_die">Lists!$G$2:$J$13</definedName>
    <definedName name="hit_loc_die_list">Lists!$G$2:$G$13</definedName>
    <definedName name="hit_loc_human">Lists!$A$2:$B$7</definedName>
    <definedName name="hit_loc_monster">Lists!$D$2:$E$6</definedName>
    <definedName name="light">Lists!$AF$2:$AG$4</definedName>
    <definedName name="light_list">Lists!$AF$2:$AF$4</definedName>
    <definedName name="nc_critical">Lists!$AZ$2:$BA$6</definedName>
    <definedName name="random_hit_roll">Lists!$BO$4:$BO$15</definedName>
    <definedName name="range">Lists!$Y$2:$AA$6</definedName>
    <definedName name="range_list">Lists!$Y$2:$Y$6</definedName>
    <definedName name="resist">Lists!$BC$2:$BE$5</definedName>
    <definedName name="resist_list">Lists!$BC$2:$BC$5</definedName>
    <definedName name="size">Lists!$AC$2:$AD$5</definedName>
    <definedName name="size_list">Lists!$AC$2:$AC$5</definedName>
    <definedName name="strike_list">Lists!$AT$2:$AT$6</definedName>
    <definedName name="targeting">Lists!$U$2:$W$13</definedName>
    <definedName name="targeting_list">Lists!$U$2:$U$13</definedName>
  </definedNames>
  <calcPr calcId="179021"/>
</workbook>
</file>

<file path=xl/calcChain.xml><?xml version="1.0" encoding="utf-8"?>
<calcChain xmlns="http://schemas.openxmlformats.org/spreadsheetml/2006/main">
  <c r="H30" i="1" l="1"/>
  <c r="D14" i="1" l="1"/>
  <c r="H14" i="1"/>
  <c r="F8" i="1"/>
  <c r="G7" i="1"/>
  <c r="H9" i="1" s="1"/>
  <c r="H6" i="1"/>
  <c r="D15" i="1"/>
  <c r="H23" i="1"/>
  <c r="H11" i="1" l="1"/>
  <c r="B8" i="1"/>
  <c r="D13" i="1"/>
  <c r="D12" i="1"/>
  <c r="AT4" i="2"/>
  <c r="AT6" i="2"/>
  <c r="AT5" i="2"/>
  <c r="AT2" i="2"/>
  <c r="AT3" i="2"/>
  <c r="AR11" i="2" l="1"/>
  <c r="AR10" i="2"/>
  <c r="H35" i="1"/>
  <c r="H34" i="1"/>
  <c r="H32" i="1"/>
  <c r="D32" i="1"/>
  <c r="H31" i="1"/>
  <c r="G31" i="1"/>
  <c r="D31" i="1"/>
  <c r="D30" i="1"/>
  <c r="D29" i="1"/>
  <c r="D28" i="1"/>
  <c r="D27" i="1"/>
  <c r="D26" i="1"/>
  <c r="D25" i="1"/>
  <c r="D24" i="1"/>
  <c r="D23" i="1"/>
  <c r="D22" i="1"/>
  <c r="D21" i="1"/>
  <c r="D20" i="1"/>
  <c r="H19" i="1"/>
  <c r="D19" i="1"/>
  <c r="H18" i="1"/>
  <c r="D18" i="1"/>
  <c r="H17" i="1"/>
  <c r="D17" i="1"/>
  <c r="H16" i="1"/>
  <c r="D16" i="1"/>
  <c r="H15" i="1"/>
  <c r="H13" i="1"/>
  <c r="D11" i="1"/>
  <c r="G10" i="1"/>
  <c r="C10" i="1"/>
  <c r="D9" i="1"/>
  <c r="H20" i="1" l="1"/>
  <c r="D33" i="1"/>
  <c r="F21" i="1"/>
  <c r="H26" i="1" l="1"/>
  <c r="G26" i="1"/>
  <c r="G25" i="1"/>
  <c r="BO2" i="2"/>
  <c r="H21" i="1"/>
  <c r="BO4" i="2"/>
  <c r="BO5" i="2"/>
  <c r="BO6" i="2" s="1"/>
  <c r="BO7" i="2" s="1"/>
  <c r="BO8" i="2" s="1"/>
  <c r="BO9" i="2" s="1"/>
  <c r="BO10" i="2" s="1"/>
  <c r="BO11" i="2" s="1"/>
  <c r="BO12" i="2" s="1"/>
  <c r="BO13" i="2" s="1"/>
  <c r="BO14" i="2" s="1"/>
  <c r="BO15" i="2" s="1"/>
  <c r="F27" i="1" l="1"/>
  <c r="H28" i="1"/>
  <c r="D34" i="1"/>
  <c r="D36" i="1" s="1"/>
  <c r="C36" i="1" s="1"/>
  <c r="G24" i="1"/>
  <c r="G33" i="1" s="1"/>
  <c r="H33" i="1" s="1"/>
  <c r="H29" i="1"/>
  <c r="H36" i="1"/>
  <c r="AL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6" authorId="0" shapeId="0" xr:uid="{00000000-0006-0000-0000-000001000000}">
      <text>
        <r>
          <rPr>
            <sz val="10"/>
            <color rgb="FF000000"/>
            <rFont val="Arial"/>
          </rPr>
          <t>Target is running or charging; and their REFLEX is more than 10</t>
        </r>
      </text>
    </comment>
    <comment ref="F28" authorId="0" shapeId="0" xr:uid="{00000000-0006-0000-0000-000002000000}">
      <text>
        <r>
          <rPr>
            <sz val="10"/>
            <color rgb="FF000000"/>
            <rFont val="Arial"/>
          </rPr>
          <t>Against specter/elementa, inflicting one of: 
Foreign Object 
Ruptured Spleen 
Torn Stomach 
Sucking Chest Wound 
Septic Shock</t>
        </r>
      </text>
    </comment>
  </commentList>
</comments>
</file>

<file path=xl/sharedStrings.xml><?xml version="1.0" encoding="utf-8"?>
<sst xmlns="http://schemas.openxmlformats.org/spreadsheetml/2006/main" count="515" uniqueCount="298">
  <si>
    <t>Witcher TRPG</t>
  </si>
  <si>
    <t>Combat calculator v1.4b* by /u/zebramatt</t>
  </si>
  <si>
    <t>Attacker</t>
  </si>
  <si>
    <t>Defender</t>
  </si>
  <si>
    <t>Action</t>
  </si>
  <si>
    <t>Ranged weapon (crossbow)</t>
  </si>
  <si>
    <t>Dodge</t>
  </si>
  <si>
    <t>Method</t>
  </si>
  <si>
    <t>1d10 result</t>
  </si>
  <si>
    <t>Crit / Fumble</t>
  </si>
  <si>
    <t xml:space="preserve"> </t>
  </si>
  <si>
    <t>Skill + Stat</t>
  </si>
  <si>
    <t>Strike type</t>
  </si>
  <si>
    <t>Fastx1</t>
  </si>
  <si>
    <t>Size</t>
  </si>
  <si>
    <t>Medium (man-sized)</t>
  </si>
  <si>
    <t>Targeting</t>
  </si>
  <si>
    <t>None (roll)</t>
  </si>
  <si>
    <t>Enemies in melee</t>
  </si>
  <si>
    <t>Range</t>
  </si>
  <si>
    <t>Melee</t>
  </si>
  <si>
    <t>Light Level</t>
  </si>
  <si>
    <t>Light level</t>
  </si>
  <si>
    <t>Blinded</t>
  </si>
  <si>
    <t>Target silhouetted</t>
  </si>
  <si>
    <t>Prone</t>
  </si>
  <si>
    <t>Can't see target</t>
  </si>
  <si>
    <t>Grappled</t>
  </si>
  <si>
    <t>Target can't see you</t>
  </si>
  <si>
    <t>Staggered</t>
  </si>
  <si>
    <t>Ambush (first round)</t>
  </si>
  <si>
    <t>Underwater</t>
  </si>
  <si>
    <t>Prior rounds aiming</t>
  </si>
  <si>
    <t>Total defense</t>
  </si>
  <si>
    <t>Fast draw</t>
  </si>
  <si>
    <t>Extra action</t>
  </si>
  <si>
    <t>Human / monster</t>
  </si>
  <si>
    <t>Humanoid</t>
  </si>
  <si>
    <t>Accuracy bonus</t>
  </si>
  <si>
    <t>Roll for location</t>
  </si>
  <si>
    <t>Target pinned</t>
  </si>
  <si>
    <t>Location hit</t>
  </si>
  <si>
    <t>Target actively dodging</t>
  </si>
  <si>
    <t>Damage</t>
  </si>
  <si>
    <t>Target moving &amp; REF&gt;10</t>
  </si>
  <si>
    <t>Critical wound</t>
  </si>
  <si>
    <t>Ricochet shot</t>
  </si>
  <si>
    <t>Noncorporeal crit</t>
  </si>
  <si>
    <t>Roll weapon DMG</t>
  </si>
  <si>
    <t>Attacker BODY</t>
  </si>
  <si>
    <t>Strike type multiplier</t>
  </si>
  <si>
    <t>Defender total SP</t>
  </si>
  <si>
    <t>Total attack</t>
  </si>
  <si>
    <t>Location multiplier</t>
  </si>
  <si>
    <t>Resist / susceptible</t>
  </si>
  <si>
    <t>None</t>
  </si>
  <si>
    <t>d12 location die</t>
  </si>
  <si>
    <t>Underbelly</t>
  </si>
  <si>
    <t>Blade oil / silver DMG</t>
  </si>
  <si>
    <t>Total damage</t>
  </si>
  <si>
    <t>*Added beta support for hit location d12 from Q Workshop</t>
  </si>
  <si>
    <t>Enter:</t>
  </si>
  <si>
    <t>roll result</t>
  </si>
  <si>
    <t>from stats / situation</t>
  </si>
  <si>
    <t>mandatory selection</t>
  </si>
  <si>
    <t>Roll</t>
  </si>
  <si>
    <t>Humanoid hit location</t>
  </si>
  <si>
    <t>Monster hit location</t>
  </si>
  <si>
    <t>Location die</t>
  </si>
  <si>
    <t>Human</t>
  </si>
  <si>
    <t>Monster</t>
  </si>
  <si>
    <t>Crit</t>
  </si>
  <si>
    <t>Targeted</t>
  </si>
  <si>
    <t>Humanoid crit location</t>
  </si>
  <si>
    <t>Monster crit location</t>
  </si>
  <si>
    <t>Simple</t>
  </si>
  <si>
    <t>Complex</t>
  </si>
  <si>
    <t>Difficult</t>
  </si>
  <si>
    <t>Deadly</t>
  </si>
  <si>
    <t>Mod</t>
  </si>
  <si>
    <t>DC</t>
  </si>
  <si>
    <t xml:space="preserve">     </t>
  </si>
  <si>
    <t>Defense actions</t>
  </si>
  <si>
    <t>Extras</t>
  </si>
  <si>
    <t>Attack actions</t>
  </si>
  <si>
    <t>DMG mod</t>
  </si>
  <si>
    <t>Strikes available</t>
  </si>
  <si>
    <t>Strike list</t>
  </si>
  <si>
    <t>Level</t>
  </si>
  <si>
    <t>DMG</t>
  </si>
  <si>
    <t>ncCrit wound</t>
  </si>
  <si>
    <t>ncDMG</t>
  </si>
  <si>
    <t>Multiplier</t>
  </si>
  <si>
    <t>Effect</t>
  </si>
  <si>
    <t>Body bonus</t>
  </si>
  <si>
    <t>Critical injury</t>
  </si>
  <si>
    <t>Untreated</t>
  </si>
  <si>
    <t>Stabilised</t>
  </si>
  <si>
    <t>Treated</t>
  </si>
  <si>
    <t>Hit location roll</t>
  </si>
  <si>
    <t>Humanoid – Head</t>
  </si>
  <si>
    <t>Monster – Head</t>
  </si>
  <si>
    <t>Right Foot</t>
  </si>
  <si>
    <t>Humanoid – Leg (R)</t>
  </si>
  <si>
    <t>Monster – Limb (R)</t>
  </si>
  <si>
    <t>Sprained Leg</t>
  </si>
  <si>
    <t>Fractured Leg</t>
  </si>
  <si>
    <t>Compound Leg Fracture</t>
  </si>
  <si>
    <t>Dismembered Leg</t>
  </si>
  <si>
    <t>Point blank</t>
  </si>
  <si>
    <t>Small (cat or nekker)</t>
  </si>
  <si>
    <t>Bright light in eyes</t>
  </si>
  <si>
    <t>Immobile</t>
  </si>
  <si>
    <t>–</t>
  </si>
  <si>
    <t>Melee weapon</t>
  </si>
  <si>
    <t>1d10 + REF + Weapon Skill</t>
  </si>
  <si>
    <t>Fastx2, Strong</t>
  </si>
  <si>
    <t>Foreign Object</t>
  </si>
  <si>
    <t>-2 SPD, Dodge, Athletics</t>
  </si>
  <si>
    <t>-1 SPD, Dodge, Athletics</t>
  </si>
  <si>
    <t>-1 SPD</t>
  </si>
  <si>
    <t>Humanoid – Torso</t>
  </si>
  <si>
    <t>Monster – Torso</t>
  </si>
  <si>
    <t>Left Foot</t>
  </si>
  <si>
    <t>Humanoid – Leg (L)</t>
  </si>
  <si>
    <t>Monster – Limb (L)</t>
  </si>
  <si>
    <t>Daylight/Dim</t>
  </si>
  <si>
    <t>1d10 + REF + Dodge/Escape</t>
  </si>
  <si>
    <t>Melee weapon charge</t>
  </si>
  <si>
    <t>Run then must Strong strike; if blocked, opposed Physique -&gt; Prone</t>
  </si>
  <si>
    <t>Strong</t>
  </si>
  <si>
    <t>Ruptured Spleen</t>
  </si>
  <si>
    <t>Resistance</t>
  </si>
  <si>
    <t>Sprained Arm</t>
  </si>
  <si>
    <t>-2 actions using that arm</t>
  </si>
  <si>
    <t>-1 action using that arm</t>
  </si>
  <si>
    <t>-1 to Physique</t>
  </si>
  <si>
    <t>Humanoid – Arm (R)</t>
  </si>
  <si>
    <t>Right Hand</t>
  </si>
  <si>
    <t>Fractured Arm</t>
  </si>
  <si>
    <t>Compound Arm Fracture</t>
  </si>
  <si>
    <t>Dismembered Arm</t>
  </si>
  <si>
    <t>Close (1-25%)</t>
  </si>
  <si>
    <t>Large (troll or horse)</t>
  </si>
  <si>
    <t>Darkness</t>
  </si>
  <si>
    <t>Reposition</t>
  </si>
  <si>
    <t>1d10 + DEX + Athletics</t>
  </si>
  <si>
    <t>After dodge, make half SPD move</t>
  </si>
  <si>
    <t>Melee weapon disarm</t>
  </si>
  <si>
    <t>Must target Arm; oppose Dodge; scatter 1d6 metres; 0 DMG</t>
  </si>
  <si>
    <t>Normal</t>
  </si>
  <si>
    <t>Torn Stomach</t>
  </si>
  <si>
    <t>Susceptibility</t>
  </si>
  <si>
    <t>25% Recovery &amp; Healing</t>
  </si>
  <si>
    <t>50% Recovery &amp; Healing</t>
  </si>
  <si>
    <t>-2 Recovery &amp; -1 Healing</t>
  </si>
  <si>
    <t>Humanoid – Arm (L)</t>
  </si>
  <si>
    <t>Left Hand</t>
  </si>
  <si>
    <t>Medium (26-50%)</t>
  </si>
  <si>
    <t>Huge (fiend)</t>
  </si>
  <si>
    <t>Block (shield)</t>
  </si>
  <si>
    <t>1d10 + REF + Melee</t>
  </si>
  <si>
    <t>Reduce shield reliability by 1</t>
  </si>
  <si>
    <t>Melee weapon pommel strike</t>
  </si>
  <si>
    <t>Non-lethal 50% DMG</t>
  </si>
  <si>
    <t>Fastx2</t>
  </si>
  <si>
    <t>Sucking Chest Wound</t>
  </si>
  <si>
    <t>Silver (roll bonus DMG)</t>
  </si>
  <si>
    <t>plus listed Silver damage</t>
  </si>
  <si>
    <t>Cracked Ribs</t>
  </si>
  <si>
    <t>-2 BODY (no HP loss)</t>
  </si>
  <si>
    <t>-1 BODY (no HP loss)</t>
  </si>
  <si>
    <t>-10 Encumbrance</t>
  </si>
  <si>
    <t>Monster – Tail or Wing</t>
  </si>
  <si>
    <t>Left Leg</t>
  </si>
  <si>
    <t>Broken Ribs</t>
  </si>
  <si>
    <t>Septic Shock</t>
  </si>
  <si>
    <t>Long (51-100%)</t>
  </si>
  <si>
    <t>Block (weapon)</t>
  </si>
  <si>
    <t>Reduce weapon reliability by 1</t>
  </si>
  <si>
    <t>Melee weapon trip</t>
  </si>
  <si>
    <t>Must target Leg; oppose Dodge -&gt; Prone; 0 DMG</t>
  </si>
  <si>
    <t>Disfiguring Scar</t>
  </si>
  <si>
    <t>-3 social skills</t>
  </si>
  <si>
    <t>-1 social skills</t>
  </si>
  <si>
    <t>-1 Seduction</t>
  </si>
  <si>
    <t>Right Leg</t>
  </si>
  <si>
    <t>Extreme (101-200%)</t>
  </si>
  <si>
    <t>Block (limb)</t>
  </si>
  <si>
    <t>1d10 + REF + Brawling</t>
  </si>
  <si>
    <t>Melee weapon feint &amp; strike</t>
  </si>
  <si>
    <t>Deceit vs Awareness; 2nd action = strike +3</t>
  </si>
  <si>
    <t>Cracked Jaw</t>
  </si>
  <si>
    <t xml:space="preserve">-2 verbal magic &amp; social </t>
  </si>
  <si>
    <t>-1 verbal magic &amp; social</t>
  </si>
  <si>
    <t>-1 verbal magic</t>
  </si>
  <si>
    <t>Left Arm</t>
  </si>
  <si>
    <t>Parry (shield)</t>
  </si>
  <si>
    <t>Take 0 DMG; stagger opponent</t>
  </si>
  <si>
    <t>Melee dual weapon</t>
  </si>
  <si>
    <t>2nd strike: Block/Parry w/ 2nd weapon; or Dodge</t>
  </si>
  <si>
    <t>Joint</t>
  </si>
  <si>
    <t>-3 actions using that arm</t>
  </si>
  <si>
    <t>-1 actions using that arm</t>
  </si>
  <si>
    <t>Right Arm</t>
  </si>
  <si>
    <t>Heart Damage</t>
  </si>
  <si>
    <t>Parry (weapon)</t>
  </si>
  <si>
    <t>Melee shield (light)</t>
  </si>
  <si>
    <t>Lethal Punch DMG</t>
  </si>
  <si>
    <t>-3 SPD, Dodge, Athletics</t>
  </si>
  <si>
    <t>Parry (limb)</t>
  </si>
  <si>
    <t>Melee shield (medium)</t>
  </si>
  <si>
    <t>Lethal Punch DMG+2</t>
  </si>
  <si>
    <t>-2 BODY &amp; -1 REF, DEX</t>
  </si>
  <si>
    <t>-1 BODY, REF</t>
  </si>
  <si>
    <t>-1 BODY</t>
  </si>
  <si>
    <t>Torso</t>
  </si>
  <si>
    <t>Lost Teeth</t>
  </si>
  <si>
    <t>Concussion</t>
  </si>
  <si>
    <t>Damaged Eye</t>
  </si>
  <si>
    <t>Parry vs thrown (shield)</t>
  </si>
  <si>
    <t>Melee shield (heavy)</t>
  </si>
  <si>
    <t>Lethal Punch DMG+4</t>
  </si>
  <si>
    <t>STUN every 5 rounds; bleeding</t>
  </si>
  <si>
    <t>STUN every 10 rounds</t>
  </si>
  <si>
    <t>-2 STUN save stat</t>
  </si>
  <si>
    <t>Neck</t>
  </si>
  <si>
    <t>Minor Head Wound</t>
  </si>
  <si>
    <t>Skull Fracture</t>
  </si>
  <si>
    <t>Decapitated / Separated Spine</t>
  </si>
  <si>
    <t>Parry vs thrown (weapon)</t>
  </si>
  <si>
    <t>Melee punch</t>
  </si>
  <si>
    <t>Non-lethal Punch DMG</t>
  </si>
  <si>
    <t>Lose 1d10 Teeth</t>
  </si>
  <si>
    <t>-3 verbal magic &amp; social</t>
  </si>
  <si>
    <t>-2 verbal magic &amp; social</t>
  </si>
  <si>
    <t>Head</t>
  </si>
  <si>
    <t>Parry vs thrown (limb)</t>
  </si>
  <si>
    <t>Melee kick</t>
  </si>
  <si>
    <t>Non-lethal Kick DMG</t>
  </si>
  <si>
    <t>-1 INT, WILL, STUN</t>
  </si>
  <si>
    <t>-1 INT, WILL</t>
  </si>
  <si>
    <t>-1 WILL</t>
  </si>
  <si>
    <t>Melee push kick</t>
  </si>
  <si>
    <t>Push target your BODY/3 metres back; 50% DMG</t>
  </si>
  <si>
    <t>25% SPD, Dodge, Athletics; bleeding</t>
  </si>
  <si>
    <t>50% SPD, Dodge, Athletics</t>
  </si>
  <si>
    <t>Melee unarmed charge</t>
  </si>
  <si>
    <t>Arm is useless; bleeding</t>
  </si>
  <si>
    <t>Arm is useless</t>
  </si>
  <si>
    <t>Arm in sling; can hold things</t>
  </si>
  <si>
    <t>Melee unarmed disarm &amp; knock</t>
  </si>
  <si>
    <t>Must target Arm; oppose Dodge; scatter 1d3 metres; 0 DMG</t>
  </si>
  <si>
    <t>-3 BODY, SPD; suffocating</t>
  </si>
  <si>
    <t>-2 BODY, SPD</t>
  </si>
  <si>
    <t>-1 BODY, SPD</t>
  </si>
  <si>
    <t>Melee unarmed disarm &amp; grab</t>
  </si>
  <si>
    <t>Must target Arm; oppose Dodge; grab weapon</t>
  </si>
  <si>
    <t>-2 all actions; 4 acid dmg/round</t>
  </si>
  <si>
    <t>-2 all actions</t>
  </si>
  <si>
    <t>-1 all actions</t>
  </si>
  <si>
    <t>Melee unarmed grapple*</t>
  </si>
  <si>
    <t>Oppose Dodge; target can't move away; 0 DMG</t>
  </si>
  <si>
    <t>STUN every 1d6 rounds; -2 INT, REF, DEX</t>
  </si>
  <si>
    <t>-1 INT, REF, DEX</t>
  </si>
  <si>
    <t>-1 INT, DEX</t>
  </si>
  <si>
    <t>Melee unarmed *pin</t>
  </si>
  <si>
    <t>Oppose Dodge; target can't do anything; 0 DMG</t>
  </si>
  <si>
    <t>-1 INT, DEX; 400% head dmg; bleeding</t>
  </si>
  <si>
    <t>-1 INT, DEX; 400% head dmg</t>
  </si>
  <si>
    <t>400% head dmg</t>
  </si>
  <si>
    <t>Melee unarmed *choke</t>
  </si>
  <si>
    <t>Oppose Dodge; Suffocate; 0 DMG</t>
  </si>
  <si>
    <t>25% SPD, Dodge, Athletics</t>
  </si>
  <si>
    <t>Prosthetic leg</t>
  </si>
  <si>
    <t>Melee unarmed *throw</t>
  </si>
  <si>
    <t>Oppose Dodge -&gt; Punch DMG; STUN(-1); Prone</t>
  </si>
  <si>
    <t>Prosthetic arm</t>
  </si>
  <si>
    <t>Melee unarmed trip</t>
  </si>
  <si>
    <t>25% stamina; -3 INT, WILL, REF, DEX; poisoned</t>
  </si>
  <si>
    <t>50% stamina; -3 INT, WILL, REF, DEX</t>
  </si>
  <si>
    <t>-5 stamina permanently</t>
  </si>
  <si>
    <t>Ranged weapon (bow)</t>
  </si>
  <si>
    <t>1d10 + DEX + Weapon Skill + Range</t>
  </si>
  <si>
    <t>Fastx1, Strong</t>
  </si>
  <si>
    <t>Death save; 25% stamina, SPD, Body; bleeding</t>
  </si>
  <si>
    <t>50% stamina, SPD, BODY</t>
  </si>
  <si>
    <t>+2 dmg/round when bleeding</t>
  </si>
  <si>
    <t>-5 visual Awareness &amp; -4 DEX; bleeding</t>
  </si>
  <si>
    <t>-3 visual Awareness &amp; -2 DEX</t>
  </si>
  <si>
    <t>-1 visual Awareness, DEX</t>
  </si>
  <si>
    <t>Ranged weapon (thrown)</t>
  </si>
  <si>
    <t>Immediate and instant death</t>
  </si>
  <si>
    <t>Still dead</t>
  </si>
  <si>
    <t>Yup, still dead</t>
  </si>
  <si>
    <t>Ranged dual weapon</t>
  </si>
  <si>
    <t/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</si>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</sst>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0"/>
      <color rgb="FF000000"/>
      <name val="Arial"/>
    </font>
    <font>
      <sz val="10"/>
      <color theme="1"/>
      <name val="Nanum Gothic"/>
    </font>
    <font>
      <b/>
      <sz val="24"/>
      <color theme="1"/>
      <name val="Impact"/>
    </font>
    <font>
      <b/>
      <sz val="12"/>
      <color theme="1"/>
      <name val="Nanum Gothic"/>
    </font>
    <font>
      <b/>
      <sz val="10"/>
      <color theme="1"/>
      <name val="Nanum Gothic"/>
    </font>
    <font>
      <sz val="10"/>
      <name val="Arial"/>
    </font>
    <font>
      <i/>
      <sz val="10"/>
      <color theme="1"/>
      <name val="Nanum Gothic"/>
    </font>
    <font>
      <i/>
      <sz val="10"/>
      <color rgb="FFA61C00"/>
      <name val="Nanum Gothic"/>
    </font>
    <font>
      <sz val="10"/>
      <color theme="1"/>
      <name val="Arial"/>
    </font>
    <font>
      <i/>
      <sz val="8"/>
      <color theme="1"/>
      <name val="Nanum Gothic"/>
    </font>
  </fonts>
  <fills count="7">
    <fill>
      <patternFill patternType="none"/>
    </fill>
    <fill>
      <patternFill patternType="gray125"/>
    </fill>
    <fill>
      <patternFill patternType="solid">
        <fgColor rgb="FFF3F3F3"/>
        <bgColor rgb="FFF3F3F3"/>
      </patternFill>
    </fill>
    <fill>
      <patternFill patternType="solid">
        <fgColor rgb="FFEAD1DC"/>
        <bgColor rgb="FFEAD1DC"/>
      </patternFill>
    </fill>
    <fill>
      <patternFill patternType="solid">
        <fgColor rgb="FFB6D7A8"/>
        <bgColor rgb="FFB6D7A8"/>
      </patternFill>
    </fill>
    <fill>
      <patternFill patternType="solid">
        <fgColor rgb="FFFFE599"/>
        <bgColor rgb="FFFFE599"/>
      </patternFill>
    </fill>
    <fill>
      <patternFill patternType="solid">
        <fgColor theme="2" tint="-0.34998626667073579"/>
        <bgColor rgb="FFF3F3F3"/>
      </patternFill>
    </fill>
  </fills>
  <borders count="2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double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</borders>
  <cellStyleXfs count="1">
    <xf numFmtId="0" fontId="0" fillId="0" borderId="0"/>
  </cellStyleXfs>
  <cellXfs count="67">
    <xf numFmtId="0" fontId="0" fillId="0" borderId="0" xfId="0" applyFont="1" applyAlignment="1"/>
    <xf numFmtId="0" fontId="1" fillId="0" borderId="0" xfId="0" applyFont="1" applyAlignment="1">
      <alignment vertical="top"/>
    </xf>
    <xf numFmtId="0" fontId="1" fillId="0" borderId="0" xfId="0" applyFont="1" applyAlignment="1">
      <alignment vertical="top"/>
    </xf>
    <xf numFmtId="0" fontId="4" fillId="2" borderId="1" xfId="0" applyFont="1" applyFill="1" applyBorder="1" applyAlignment="1">
      <alignment vertical="top"/>
    </xf>
    <xf numFmtId="0" fontId="1" fillId="2" borderId="4" xfId="0" applyFont="1" applyFill="1" applyBorder="1" applyAlignment="1">
      <alignment vertical="top"/>
    </xf>
    <xf numFmtId="0" fontId="4" fillId="3" borderId="5" xfId="0" applyFont="1" applyFill="1" applyBorder="1" applyAlignment="1">
      <alignment vertical="top"/>
    </xf>
    <xf numFmtId="0" fontId="1" fillId="2" borderId="6" xfId="0" applyFont="1" applyFill="1" applyBorder="1" applyAlignment="1">
      <alignment vertical="top"/>
    </xf>
    <xf numFmtId="0" fontId="1" fillId="2" borderId="7" xfId="0" applyFont="1" applyFill="1" applyBorder="1" applyAlignment="1">
      <alignment vertical="top"/>
    </xf>
    <xf numFmtId="0" fontId="6" fillId="2" borderId="0" xfId="0" applyFont="1" applyFill="1" applyAlignment="1">
      <alignment vertical="top"/>
    </xf>
    <xf numFmtId="0" fontId="1" fillId="4" borderId="5" xfId="0" applyFont="1" applyFill="1" applyBorder="1" applyAlignment="1">
      <alignment vertical="top"/>
    </xf>
    <xf numFmtId="0" fontId="6" fillId="2" borderId="6" xfId="0" applyFont="1" applyFill="1" applyBorder="1" applyAlignment="1">
      <alignment vertical="top"/>
    </xf>
    <xf numFmtId="0" fontId="1" fillId="5" borderId="11" xfId="0" applyFont="1" applyFill="1" applyBorder="1" applyAlignment="1">
      <alignment vertical="top"/>
    </xf>
    <xf numFmtId="0" fontId="1" fillId="5" borderId="5" xfId="0" applyFont="1" applyFill="1" applyBorder="1" applyAlignment="1">
      <alignment vertical="top"/>
    </xf>
    <xf numFmtId="0" fontId="4" fillId="2" borderId="4" xfId="0" applyFont="1" applyFill="1" applyBorder="1" applyAlignment="1">
      <alignment vertical="top"/>
    </xf>
    <xf numFmtId="0" fontId="1" fillId="2" borderId="6" xfId="0" applyFont="1" applyFill="1" applyBorder="1" applyAlignment="1">
      <alignment vertical="top"/>
    </xf>
    <xf numFmtId="0" fontId="1" fillId="0" borderId="12" xfId="0" applyFont="1" applyBorder="1" applyAlignment="1">
      <alignment vertical="top"/>
    </xf>
    <xf numFmtId="0" fontId="1" fillId="2" borderId="13" xfId="0" applyFont="1" applyFill="1" applyBorder="1" applyAlignment="1">
      <alignment vertical="top"/>
    </xf>
    <xf numFmtId="0" fontId="1" fillId="2" borderId="14" xfId="0" applyFont="1" applyFill="1" applyBorder="1" applyAlignment="1">
      <alignment horizontal="right" vertical="top"/>
    </xf>
    <xf numFmtId="0" fontId="1" fillId="2" borderId="15" xfId="0" applyFont="1" applyFill="1" applyBorder="1" applyAlignment="1">
      <alignment vertical="top"/>
    </xf>
    <xf numFmtId="0" fontId="4" fillId="2" borderId="3" xfId="0" applyFont="1" applyFill="1" applyBorder="1" applyAlignment="1">
      <alignment horizontal="right" vertical="top"/>
    </xf>
    <xf numFmtId="0" fontId="1" fillId="4" borderId="5" xfId="0" applyFont="1" applyFill="1" applyBorder="1" applyAlignment="1">
      <alignment horizontal="left" vertical="top"/>
    </xf>
    <xf numFmtId="0" fontId="6" fillId="2" borderId="14" xfId="0" applyFont="1" applyFill="1" applyBorder="1" applyAlignment="1">
      <alignment vertical="top"/>
    </xf>
    <xf numFmtId="0" fontId="1" fillId="2" borderId="16" xfId="0" applyFont="1" applyFill="1" applyBorder="1" applyAlignment="1">
      <alignment vertical="top"/>
    </xf>
    <xf numFmtId="0" fontId="6" fillId="2" borderId="17" xfId="0" applyFont="1" applyFill="1" applyBorder="1" applyAlignment="1">
      <alignment vertical="top"/>
    </xf>
    <xf numFmtId="0" fontId="1" fillId="2" borderId="18" xfId="0" applyFont="1" applyFill="1" applyBorder="1" applyAlignment="1">
      <alignment vertical="top"/>
    </xf>
    <xf numFmtId="0" fontId="6" fillId="2" borderId="0" xfId="0" applyFont="1" applyFill="1" applyAlignment="1">
      <alignment vertical="top"/>
    </xf>
    <xf numFmtId="0" fontId="1" fillId="2" borderId="19" xfId="0" applyFont="1" applyFill="1" applyBorder="1" applyAlignment="1">
      <alignment vertical="top"/>
    </xf>
    <xf numFmtId="0" fontId="1" fillId="2" borderId="13" xfId="0" applyFont="1" applyFill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5" borderId="20" xfId="0" applyFont="1" applyFill="1" applyBorder="1" applyAlignment="1">
      <alignment vertical="top"/>
    </xf>
    <xf numFmtId="0" fontId="9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4" fillId="0" borderId="0" xfId="0" applyFont="1" applyAlignment="1"/>
    <xf numFmtId="9" fontId="4" fillId="0" borderId="0" xfId="0" applyNumberFormat="1" applyFont="1" applyAlignment="1"/>
    <xf numFmtId="0" fontId="4" fillId="0" borderId="0" xfId="0" applyFont="1"/>
    <xf numFmtId="0" fontId="1" fillId="0" borderId="0" xfId="0" applyFont="1" applyAlignment="1"/>
    <xf numFmtId="9" fontId="1" fillId="0" borderId="0" xfId="0" applyNumberFormat="1" applyFont="1" applyAlignment="1"/>
    <xf numFmtId="0" fontId="1" fillId="0" borderId="0" xfId="0" applyFont="1"/>
    <xf numFmtId="0" fontId="1" fillId="0" borderId="0" xfId="0" quotePrefix="1" applyFont="1" applyAlignment="1"/>
    <xf numFmtId="0" fontId="8" fillId="0" borderId="0" xfId="0" applyFont="1" applyAlignment="1"/>
    <xf numFmtId="0" fontId="1" fillId="0" borderId="0" xfId="0" applyFont="1" applyAlignment="1"/>
    <xf numFmtId="0" fontId="1" fillId="0" borderId="0" xfId="0" applyFont="1" applyAlignment="1"/>
    <xf numFmtId="9" fontId="1" fillId="0" borderId="0" xfId="0" applyNumberFormat="1" applyFont="1"/>
    <xf numFmtId="0" fontId="6" fillId="2" borderId="8" xfId="0" applyFont="1" applyFill="1" applyBorder="1" applyAlignment="1">
      <alignment horizontal="right" vertical="top"/>
    </xf>
    <xf numFmtId="0" fontId="5" fillId="0" borderId="9" xfId="0" applyFont="1" applyBorder="1"/>
    <xf numFmtId="0" fontId="5" fillId="0" borderId="10" xfId="0" applyFont="1" applyBorder="1"/>
    <xf numFmtId="0" fontId="4" fillId="2" borderId="1" xfId="0" applyFont="1" applyFill="1" applyBorder="1" applyAlignment="1">
      <alignment vertical="top"/>
    </xf>
    <xf numFmtId="0" fontId="5" fillId="0" borderId="2" xfId="0" applyFont="1" applyBorder="1"/>
    <xf numFmtId="0" fontId="4" fillId="2" borderId="2" xfId="0" applyFont="1" applyFill="1" applyBorder="1" applyAlignment="1">
      <alignment horizontal="right" vertical="top"/>
    </xf>
    <xf numFmtId="0" fontId="5" fillId="0" borderId="3" xfId="0" applyFont="1" applyBorder="1"/>
    <xf numFmtId="0" fontId="7" fillId="2" borderId="8" xfId="0" applyFont="1" applyFill="1" applyBorder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0" fillId="0" borderId="0" xfId="0" applyFont="1" applyAlignment="1"/>
    <xf numFmtId="0" fontId="3" fillId="0" borderId="0" xfId="0" applyFont="1" applyAlignment="1">
      <alignment horizontal="center" vertical="top"/>
    </xf>
    <xf numFmtId="0" fontId="6" fillId="2" borderId="0" xfId="0" applyFont="1" applyFill="1" applyAlignment="1">
      <alignment vertical="top"/>
    </xf>
    <xf numFmtId="0" fontId="5" fillId="0" borderId="6" xfId="0" applyFont="1" applyBorder="1"/>
    <xf numFmtId="0" fontId="1" fillId="2" borderId="6" xfId="0" quotePrefix="1" applyFont="1" applyFill="1" applyBorder="1" applyAlignment="1">
      <alignment vertical="top"/>
    </xf>
    <xf numFmtId="0" fontId="1" fillId="2" borderId="16" xfId="0" quotePrefix="1" applyFont="1" applyFill="1" applyBorder="1" applyAlignment="1">
      <alignment vertical="top"/>
    </xf>
    <xf numFmtId="0" fontId="1" fillId="0" borderId="0" xfId="0" applyFont="1" applyFill="1" applyAlignment="1">
      <alignment vertical="top"/>
    </xf>
    <xf numFmtId="0" fontId="1" fillId="6" borderId="1" xfId="0" applyFont="1" applyFill="1" applyBorder="1" applyAlignment="1">
      <alignment vertical="top"/>
    </xf>
    <xf numFmtId="0" fontId="1" fillId="6" borderId="4" xfId="0" applyFont="1" applyFill="1" applyBorder="1" applyAlignment="1">
      <alignment vertical="top"/>
    </xf>
    <xf numFmtId="0" fontId="1" fillId="6" borderId="13" xfId="0" applyFont="1" applyFill="1" applyBorder="1" applyAlignment="1">
      <alignment vertical="top"/>
    </xf>
    <xf numFmtId="0" fontId="6" fillId="6" borderId="14" xfId="0" applyFont="1" applyFill="1" applyBorder="1" applyAlignment="1">
      <alignment vertical="top"/>
    </xf>
    <xf numFmtId="0" fontId="4" fillId="6" borderId="3" xfId="0" applyFont="1" applyFill="1" applyBorder="1" applyAlignment="1">
      <alignment vertical="top"/>
    </xf>
    <xf numFmtId="0" fontId="8" fillId="6" borderId="6" xfId="0" applyFont="1" applyFill="1" applyBorder="1"/>
    <xf numFmtId="0" fontId="1" fillId="6" borderId="16" xfId="0" applyFont="1" applyFill="1" applyBorder="1" applyAlignment="1">
      <alignment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</sheetPr>
  <dimension ref="A1:AD1006"/>
  <sheetViews>
    <sheetView tabSelected="1" topLeftCell="A7" zoomScale="70" zoomScaleNormal="70" workbookViewId="0">
      <selection activeCell="G30" sqref="G30"/>
    </sheetView>
  </sheetViews>
  <sheetFormatPr defaultColWidth="14.42578125" defaultRowHeight="15.75" customHeight="1"/>
  <cols>
    <col min="1" max="1" width="1.85546875" customWidth="1"/>
    <col min="2" max="2" width="22.42578125" customWidth="1"/>
    <col min="3" max="3" width="31.42578125" customWidth="1"/>
    <col min="4" max="4" width="8.140625" customWidth="1"/>
    <col min="5" max="5" width="3.7109375" customWidth="1"/>
    <col min="6" max="6" width="21.28515625" customWidth="1"/>
    <col min="7" max="7" width="26.85546875" customWidth="1"/>
    <col min="8" max="8" width="7.5703125" customWidth="1"/>
  </cols>
  <sheetData>
    <row r="1" spans="1:30">
      <c r="A1" s="1"/>
      <c r="B1" s="52" t="s">
        <v>0</v>
      </c>
      <c r="C1" s="53"/>
      <c r="D1" s="53"/>
      <c r="E1" s="53"/>
      <c r="F1" s="53"/>
      <c r="G1" s="53"/>
      <c r="H1" s="53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>
      <c r="A2" s="1"/>
      <c r="B2" s="53"/>
      <c r="C2" s="53"/>
      <c r="D2" s="53"/>
      <c r="E2" s="53"/>
      <c r="F2" s="53"/>
      <c r="G2" s="53"/>
      <c r="H2" s="53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>
      <c r="A3" s="1"/>
      <c r="B3" s="54" t="s">
        <v>1</v>
      </c>
      <c r="C3" s="53"/>
      <c r="D3" s="53"/>
      <c r="E3" s="53"/>
      <c r="F3" s="53"/>
      <c r="G3" s="53"/>
      <c r="H3" s="5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>
      <c r="A5" s="1"/>
      <c r="B5" s="47" t="s">
        <v>2</v>
      </c>
      <c r="C5" s="48"/>
      <c r="D5" s="50"/>
      <c r="E5" s="1"/>
      <c r="F5" s="47" t="s">
        <v>3</v>
      </c>
      <c r="G5" s="48"/>
      <c r="H5" s="50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>
      <c r="A6" s="1"/>
      <c r="B6" s="4" t="s">
        <v>4</v>
      </c>
      <c r="C6" s="5" t="s">
        <v>114</v>
      </c>
      <c r="D6" s="6" t="s">
        <v>296</v>
      </c>
      <c r="E6" s="1"/>
      <c r="F6" s="4" t="s">
        <v>4</v>
      </c>
      <c r="G6" s="5" t="s">
        <v>6</v>
      </c>
      <c r="H6" s="6">
        <f>IFERROR(VLOOKUP($G6,defense,3,FALSE),0)</f>
        <v>0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>
      <c r="A7" s="1"/>
      <c r="B7" s="7" t="s">
        <v>7</v>
      </c>
      <c r="C7" s="55" t="s">
        <v>283</v>
      </c>
      <c r="D7" s="56"/>
      <c r="E7" s="1"/>
      <c r="F7" s="7" t="s">
        <v>7</v>
      </c>
      <c r="G7" s="55" t="str">
        <f>IFERROR(VLOOKUP(G6,defense,2,FALSE),"")</f>
        <v>1d10 + REF + Dodge/Escape</v>
      </c>
      <c r="H7" s="56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>
      <c r="A8" s="1"/>
      <c r="B8" s="44" t="str">
        <f>IFERROR(VLOOKUP(C$6,attacks,4,FALSE),0)</f>
        <v>–</v>
      </c>
      <c r="C8" s="45"/>
      <c r="D8" s="46"/>
      <c r="E8" s="1"/>
      <c r="F8" s="44" t="str">
        <f>IFERROR(VLOOKUP(G$6,defense,4,FALSE),"")</f>
        <v>–</v>
      </c>
      <c r="G8" s="45"/>
      <c r="H8" s="46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>
      <c r="A9" s="1"/>
      <c r="B9" s="4" t="s">
        <v>8</v>
      </c>
      <c r="C9" s="9">
        <v>5</v>
      </c>
      <c r="D9" s="6">
        <f>C9</f>
        <v>5</v>
      </c>
      <c r="E9" s="1"/>
      <c r="F9" s="4" t="s">
        <v>8</v>
      </c>
      <c r="G9" s="9">
        <v>5</v>
      </c>
      <c r="H9" s="6">
        <f>IF(G$7="DC",IFERROR(VLOOKUP(C$14,range,2,FALSE),0),G9)</f>
        <v>5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>
      <c r="A10" s="1"/>
      <c r="B10" s="4" t="s">
        <v>9</v>
      </c>
      <c r="C10" s="8" t="str">
        <f>IF(ISBLANK(C9),"",IF(C9&lt;2,"Fumble",IF(C9&gt;9,"Critical","Normal")))</f>
        <v>Normal</v>
      </c>
      <c r="D10" s="10" t="s">
        <v>10</v>
      </c>
      <c r="E10" s="1"/>
      <c r="F10" s="4" t="s">
        <v>9</v>
      </c>
      <c r="G10" s="8" t="str">
        <f>IF(ISBLANK(G9),"",IF(G9&lt;2,"Fumble",IF(G9&gt;9,"Critical","Normal")))</f>
        <v>Normal</v>
      </c>
      <c r="H10" s="10" t="s">
        <v>10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>
      <c r="A11" s="1"/>
      <c r="B11" s="4" t="s">
        <v>11</v>
      </c>
      <c r="C11" s="11"/>
      <c r="D11" s="6">
        <f>C11</f>
        <v>0</v>
      </c>
      <c r="E11" s="1"/>
      <c r="F11" s="4" t="s">
        <v>11</v>
      </c>
      <c r="G11" s="12"/>
      <c r="H11" s="6">
        <f>IF(G$7="DC",IFERROR(VLOOKUP(G$12,size,2,FALSE),0),G11)</f>
        <v>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>
      <c r="A12" s="1"/>
      <c r="B12" s="13" t="s">
        <v>12</v>
      </c>
      <c r="C12" s="5" t="s">
        <v>165</v>
      </c>
      <c r="D12" s="14">
        <f>IF(regexmatch(C12,"Strong|Joint"),-3,0)</f>
        <v>0</v>
      </c>
      <c r="E12" s="1"/>
      <c r="F12" s="4" t="s">
        <v>14</v>
      </c>
      <c r="G12" s="2" t="s">
        <v>15</v>
      </c>
      <c r="H12" s="14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>
      <c r="A13" s="1"/>
      <c r="B13" s="13" t="s">
        <v>16</v>
      </c>
      <c r="C13" s="5" t="s">
        <v>17</v>
      </c>
      <c r="D13" s="14">
        <f>IFERROR(VLOOKUP(C13,targeting,2,FALSE),0)</f>
        <v>0</v>
      </c>
      <c r="E13" s="1"/>
      <c r="F13" s="4" t="s">
        <v>18</v>
      </c>
      <c r="G13" s="12">
        <v>0</v>
      </c>
      <c r="H13" s="14">
        <f>IF(G13&gt;1,-1*(G13-1),0)</f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>
      <c r="A14" s="1"/>
      <c r="B14" s="4" t="s">
        <v>19</v>
      </c>
      <c r="C14" s="2" t="s">
        <v>20</v>
      </c>
      <c r="D14" s="14">
        <f>IFERROR(VLOOKUP(C14,range,3,FALSE),0)</f>
        <v>0</v>
      </c>
      <c r="E14" s="1"/>
      <c r="F14" s="4" t="s">
        <v>21</v>
      </c>
      <c r="G14" s="2" t="s">
        <v>126</v>
      </c>
      <c r="H14" s="14">
        <f>IFERROR(VLOOKUP(G14,light,2,FALSE),"")</f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>
      <c r="A15" s="1"/>
      <c r="B15" s="4" t="s">
        <v>22</v>
      </c>
      <c r="C15" s="2" t="s">
        <v>126</v>
      </c>
      <c r="D15" s="14">
        <f>IFERROR(VLOOKUP(C15,light,2,FALSE),"")</f>
        <v>0</v>
      </c>
      <c r="E15" s="1"/>
      <c r="F15" s="4" t="s">
        <v>23</v>
      </c>
      <c r="G15" s="2" t="s">
        <v>297</v>
      </c>
      <c r="H15" s="6">
        <f>IF(G15="Y",-3,0)</f>
        <v>0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>
      <c r="A16" s="1"/>
      <c r="B16" s="4" t="s">
        <v>24</v>
      </c>
      <c r="C16" s="1" t="s">
        <v>297</v>
      </c>
      <c r="D16" s="14">
        <f>IF(C16="Y",2,0)</f>
        <v>0</v>
      </c>
      <c r="E16" s="1"/>
      <c r="F16" s="4" t="s">
        <v>25</v>
      </c>
      <c r="G16" s="1" t="s">
        <v>297</v>
      </c>
      <c r="H16" s="6">
        <f t="shared" ref="H16:H19" si="0">IF(G16="Y",-2,0)</f>
        <v>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>
      <c r="A17" s="1"/>
      <c r="B17" s="4" t="s">
        <v>26</v>
      </c>
      <c r="C17" s="2" t="s">
        <v>297</v>
      </c>
      <c r="D17" s="14">
        <f>IF(C17="Y",-3,0)</f>
        <v>0</v>
      </c>
      <c r="E17" s="1"/>
      <c r="F17" s="4" t="s">
        <v>27</v>
      </c>
      <c r="G17" s="1" t="s">
        <v>297</v>
      </c>
      <c r="H17" s="6">
        <f t="shared" si="0"/>
        <v>0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>
      <c r="A18" s="1"/>
      <c r="B18" s="4" t="s">
        <v>28</v>
      </c>
      <c r="C18" s="2" t="s">
        <v>297</v>
      </c>
      <c r="D18" s="14">
        <f>IF(C18="Y",3,0)</f>
        <v>0</v>
      </c>
      <c r="E18" s="1"/>
      <c r="F18" s="4" t="s">
        <v>29</v>
      </c>
      <c r="G18" s="2" t="s">
        <v>297</v>
      </c>
      <c r="H18" s="6">
        <f t="shared" si="0"/>
        <v>0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>
      <c r="A19" s="1"/>
      <c r="B19" s="4" t="s">
        <v>30</v>
      </c>
      <c r="C19" s="2" t="s">
        <v>297</v>
      </c>
      <c r="D19" s="14">
        <f>IF(C19="Y",5,0)</f>
        <v>0</v>
      </c>
      <c r="E19" s="1"/>
      <c r="F19" s="4" t="s">
        <v>31</v>
      </c>
      <c r="G19" s="15" t="s">
        <v>297</v>
      </c>
      <c r="H19" s="14">
        <f t="shared" si="0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>
      <c r="A20" s="1"/>
      <c r="B20" s="4" t="s">
        <v>32</v>
      </c>
      <c r="C20" s="2">
        <v>0</v>
      </c>
      <c r="D20" s="14">
        <f>C20</f>
        <v>0</v>
      </c>
      <c r="E20" s="1"/>
      <c r="F20" s="16"/>
      <c r="G20" s="17" t="s">
        <v>33</v>
      </c>
      <c r="H20" s="18">
        <f>SUM(H9:H19)</f>
        <v>5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>
      <c r="A21" s="1"/>
      <c r="B21" s="4" t="s">
        <v>34</v>
      </c>
      <c r="C21" s="1" t="s">
        <v>297</v>
      </c>
      <c r="D21" s="14">
        <f t="shared" ref="D21:D22" si="1">IF(C21="Y",-3,0)</f>
        <v>0</v>
      </c>
      <c r="E21" s="1"/>
      <c r="F21" s="47" t="str">
        <f>IF($D$33&gt;$H$20,IF($D$33-$H$20&lt;7,"Random hit location (roll 1d10)",IF(regexmatch($C$13,"Torso|Head"),REgexp($C$13,"Torso|Head")&amp;" critical hit severity (roll 1d6)","Critical hit location &amp; severity (roll 2d6)")),"MISS!")</f>
        <v>MISS!</v>
      </c>
      <c r="G21" s="48"/>
      <c r="H21" s="19" t="str">
        <f>IF(D33&gt;H20,IF(D33-H20&lt;7,"HIT!","CRIT!"),"MISS!")</f>
        <v>MISS!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>
      <c r="A22" s="1"/>
      <c r="B22" s="4" t="s">
        <v>35</v>
      </c>
      <c r="C22" s="2" t="s">
        <v>297</v>
      </c>
      <c r="D22" s="14">
        <f t="shared" si="1"/>
        <v>0</v>
      </c>
      <c r="E22" s="1"/>
      <c r="F22" s="4" t="s">
        <v>36</v>
      </c>
      <c r="G22" s="2" t="s">
        <v>37</v>
      </c>
      <c r="H22" s="6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>
      <c r="A23" s="1"/>
      <c r="B23" s="4" t="s">
        <v>38</v>
      </c>
      <c r="C23" s="12">
        <v>0</v>
      </c>
      <c r="D23" s="14">
        <f>C23</f>
        <v>0</v>
      </c>
      <c r="E23" s="1"/>
      <c r="F23" s="4" t="s">
        <v>39</v>
      </c>
      <c r="G23" s="20">
        <v>5</v>
      </c>
      <c r="H23" s="6">
        <f>IF(C13="None (roll)",G23,IF(regexmatch(C13,"Torso"),VLOOKUP(G23,hit_loc_crit_aimed_torso,2,TRUE),IF(regexmatch(C13,"Head"),VLOOKUP(G23,hit_loc_crit_aimed_head,2,TRUE),G23)))</f>
        <v>5</v>
      </c>
      <c r="I23" s="59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>
      <c r="A24" s="1"/>
      <c r="B24" s="4" t="s">
        <v>40</v>
      </c>
      <c r="C24" s="2" t="s">
        <v>297</v>
      </c>
      <c r="D24" s="6">
        <f>IF(C24="Y",4,0)</f>
        <v>0</v>
      </c>
      <c r="E24" s="1"/>
      <c r="F24" s="16" t="s">
        <v>41</v>
      </c>
      <c r="G24" s="21" t="str">
        <f>IFERROR(IF(H21="CRIT!",IF($G$22="Humanoid",VLOOKUP($H$23,hit_loc_crit,2,FALSE),VLOOKUP($H$23,hit_loc_crit,3,FALSE)),IF($G$22="Humanoid",VLOOKUP($H$23,hit_loc_human,2,TRUE),VLOOKUP($H$23,hit_loc_monster,2,TRUE))),"")</f>
        <v>Humanoid – Arm (R)</v>
      </c>
      <c r="H24" s="22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>
      <c r="A25" s="1"/>
      <c r="B25" s="4" t="s">
        <v>42</v>
      </c>
      <c r="C25" s="2" t="s">
        <v>297</v>
      </c>
      <c r="D25" s="6">
        <f>IF(C25="Y",-2,0)</f>
        <v>0</v>
      </c>
      <c r="E25" s="1"/>
      <c r="F25" s="3" t="s">
        <v>43</v>
      </c>
      <c r="G25" s="49" t="str">
        <f>IFERROR(IF(($D$33-$H$20)&lt;7,"",VLOOKUP(($D$33-$H$20),critical,2,TRUE)&amp;" critical wound! Roll STUN."),"")</f>
        <v/>
      </c>
      <c r="H25" s="50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>
      <c r="A26" s="1"/>
      <c r="B26" s="4" t="s">
        <v>44</v>
      </c>
      <c r="C26" s="2" t="s">
        <v>297</v>
      </c>
      <c r="D26" s="6">
        <f>IF(C26="Y",-3,0)</f>
        <v>0</v>
      </c>
      <c r="E26" s="1"/>
      <c r="F26" s="7" t="s">
        <v>45</v>
      </c>
      <c r="G26" s="23" t="str">
        <f>IFERROR(HLOOKUP(VLOOKUP(($D$33-$H$20),critical,2,TRUE),crit_wound,H23,FALSE),"")</f>
        <v/>
      </c>
      <c r="H26" s="24" t="str">
        <f>IFERROR(VLOOKUP(($D$33-$H$20),critical,3,TRUE),"")</f>
        <v/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>
      <c r="A27" s="1"/>
      <c r="B27" s="4" t="s">
        <v>46</v>
      </c>
      <c r="C27" s="2" t="s">
        <v>297</v>
      </c>
      <c r="D27" s="6">
        <f>IF(C27="Y",-5,0)</f>
        <v>0</v>
      </c>
      <c r="E27" s="1"/>
      <c r="F27" s="51" t="str">
        <f>IFERROR(VLOOKUP(G26,crit_wound_effect,2,FALSE),"")</f>
        <v/>
      </c>
      <c r="G27" s="45"/>
      <c r="H27" s="46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>
      <c r="A28" s="1"/>
      <c r="B28" s="4" t="s">
        <v>23</v>
      </c>
      <c r="C28" s="2" t="s">
        <v>297</v>
      </c>
      <c r="D28" s="6">
        <f>IF(C28="Y",-3,0)</f>
        <v>0</v>
      </c>
      <c r="E28" s="1"/>
      <c r="F28" s="4" t="s">
        <v>47</v>
      </c>
      <c r="G28" s="2" t="s">
        <v>297</v>
      </c>
      <c r="H28" s="14">
        <f>IF(G28="Y",IFERROR(VLOOKUP(G26,nc_critical,2,FALSE),""),0)</f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>
      <c r="A29" s="1"/>
      <c r="B29" s="4" t="s">
        <v>25</v>
      </c>
      <c r="C29" s="1" t="s">
        <v>297</v>
      </c>
      <c r="D29" s="6">
        <f t="shared" ref="D29:D32" si="2">IF(C29="Y",-2,0)</f>
        <v>0</v>
      </c>
      <c r="E29" s="1"/>
      <c r="F29" s="4" t="s">
        <v>48</v>
      </c>
      <c r="G29" s="9">
        <v>5</v>
      </c>
      <c r="H29" s="14">
        <f>IF(H21="MISS!",0,G29)</f>
        <v>0</v>
      </c>
      <c r="I29" s="2"/>
      <c r="J29" s="2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>
      <c r="A30" s="1"/>
      <c r="B30" s="4" t="s">
        <v>27</v>
      </c>
      <c r="C30" s="2" t="s">
        <v>297</v>
      </c>
      <c r="D30" s="6">
        <f t="shared" si="2"/>
        <v>0</v>
      </c>
      <c r="E30" s="1"/>
      <c r="F30" s="4" t="s">
        <v>49</v>
      </c>
      <c r="G30" s="12">
        <v>0</v>
      </c>
      <c r="H30" s="57">
        <f>IFERROR(VLOOKUP(G30,body,2,TRUE),0)</f>
        <v>0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>
      <c r="A31" s="1"/>
      <c r="B31" s="4" t="s">
        <v>29</v>
      </c>
      <c r="C31" s="2" t="s">
        <v>297</v>
      </c>
      <c r="D31" s="6">
        <f t="shared" si="2"/>
        <v>0</v>
      </c>
      <c r="E31" s="1"/>
      <c r="F31" s="4" t="s">
        <v>50</v>
      </c>
      <c r="G31" s="25" t="str">
        <f>$C$12</f>
        <v>Fastx2</v>
      </c>
      <c r="H31" s="14">
        <f>IF($C$12="Strong",2,1)</f>
        <v>1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>
      <c r="A32" s="1"/>
      <c r="B32" s="4" t="s">
        <v>31</v>
      </c>
      <c r="C32" s="15" t="s">
        <v>297</v>
      </c>
      <c r="D32" s="26">
        <f t="shared" si="2"/>
        <v>0</v>
      </c>
      <c r="E32" s="1"/>
      <c r="F32" s="4" t="s">
        <v>51</v>
      </c>
      <c r="G32" s="12">
        <v>0</v>
      </c>
      <c r="H32" s="14">
        <f>G32</f>
        <v>0</v>
      </c>
      <c r="I32" s="2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>
      <c r="A33" s="1"/>
      <c r="B33" s="27"/>
      <c r="C33" s="17" t="s">
        <v>52</v>
      </c>
      <c r="D33" s="22">
        <f>SUM(D6:D32)</f>
        <v>5</v>
      </c>
      <c r="E33" s="1"/>
      <c r="F33" s="4" t="s">
        <v>53</v>
      </c>
      <c r="G33" s="8" t="str">
        <f>IF(C13="None (roll)",G24,C13)</f>
        <v>Humanoid – Arm (R)</v>
      </c>
      <c r="H33" s="14">
        <f>IFERROR(VLOOKUP(G33,targeting,3,FALSE),1)</f>
        <v>0.5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>
      <c r="A34" s="1"/>
      <c r="B34" s="60" t="s">
        <v>36</v>
      </c>
      <c r="C34" s="28" t="s">
        <v>37</v>
      </c>
      <c r="D34" s="64" t="str">
        <f>H21</f>
        <v>MISS!</v>
      </c>
      <c r="E34" s="1"/>
      <c r="F34" s="4" t="s">
        <v>54</v>
      </c>
      <c r="G34" s="2" t="s">
        <v>167</v>
      </c>
      <c r="H34" s="14">
        <f>IFERROR(VLOOKUP(G34,resist,2,FALSE),1)</f>
        <v>1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>
      <c r="A35" s="1"/>
      <c r="B35" s="61" t="s">
        <v>56</v>
      </c>
      <c r="C35" s="20" t="s">
        <v>216</v>
      </c>
      <c r="D35" s="65"/>
      <c r="E35" s="1"/>
      <c r="F35" s="4" t="s">
        <v>58</v>
      </c>
      <c r="G35" s="29">
        <v>0</v>
      </c>
      <c r="H35" s="26">
        <f>G35</f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>
      <c r="A36" s="1"/>
      <c r="B36" s="62" t="s">
        <v>41</v>
      </c>
      <c r="C36" s="63" t="str">
        <f>IFERROR(IF(D34="CRIT!",IF($C$34="Humanoid",VLOOKUP($D$36,hit_loc_crit,2,FALSE),VLOOKUP($D$36,hit_loc_crit,3,FALSE)),IF($C$34="Humanoid",VLOOKUP($D$36,hit_loc_human,2,TRUE),VLOOKUP($D$36,hit_loc_monster,2,TRUE))),"")</f>
        <v>Humanoid – Torso</v>
      </c>
      <c r="D36" s="66">
        <f>IFERROR(IF(D34="CRIT!",VLOOKUP(C35,hit_loc_die,4,FALSE),IF(C34="Monster",VLOOKUP(C35,hit_loc_die,3,FALSE),VLOOKUP(C35,hit_loc_die,2,FALSE))),"")</f>
        <v>2</v>
      </c>
      <c r="E36" s="1"/>
      <c r="F36" s="27"/>
      <c r="G36" s="17" t="s">
        <v>59</v>
      </c>
      <c r="H36" s="58">
        <f>IF(regexmatch(attack_effect,"0 DMG"),0,IF(ROUNDDOWN((dmg_weapon+dmg_body_mod)*dmg_strike_mult-dmg_total_sp,0)&gt;0,ROUNDDOWN((((dmg_weapon+dmg_body_mod)*dmg_strike_mult-dmg_total_sp)*dmg_location_mult*dmg_resist_mult)+SUM(dmg_crit_bonus)+dmg_oil_silver_bonus,0),SUM(dmg_crit_bonus)+dmg_oil_silver_bonus))</f>
        <v>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>
      <c r="A37" s="1"/>
      <c r="B37" s="30" t="s">
        <v>60</v>
      </c>
      <c r="C37" s="31"/>
      <c r="D37" s="31"/>
      <c r="E37" s="1"/>
      <c r="F37" s="31"/>
      <c r="G37" s="31"/>
      <c r="H37" s="3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>
      <c r="A38" s="1"/>
      <c r="B38" s="32" t="s">
        <v>61</v>
      </c>
      <c r="C38" s="9" t="s">
        <v>62</v>
      </c>
      <c r="E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1:30">
      <c r="A39" s="1"/>
      <c r="C39" s="12" t="s">
        <v>63</v>
      </c>
      <c r="E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1:30">
      <c r="A40" s="1"/>
      <c r="C40" s="5" t="s">
        <v>64</v>
      </c>
      <c r="E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1:30">
      <c r="A41" s="1"/>
      <c r="E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</row>
    <row r="42" spans="1:30">
      <c r="A42" s="1"/>
      <c r="B42" s="1"/>
      <c r="C42" s="1"/>
      <c r="D42" s="1"/>
      <c r="E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  <row r="43" spans="1:30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spans="1:30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</row>
    <row r="45" spans="1:30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</row>
    <row r="46" spans="1:30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</row>
    <row r="47" spans="1:30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spans="1:30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spans="1:30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</row>
    <row r="50" spans="1:30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</row>
    <row r="51" spans="1:30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</row>
    <row r="52" spans="1:30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</row>
    <row r="53" spans="1:30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spans="1:30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1:30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1:30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1:30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1:30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1:30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1:30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1:30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1:30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1:30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1:30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1:30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1:30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1:30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1:30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1:30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</row>
    <row r="70" spans="1:30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</row>
    <row r="71" spans="1:30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</row>
    <row r="72" spans="1:30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</row>
    <row r="73" spans="1:30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</row>
    <row r="74" spans="1:30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</row>
    <row r="75" spans="1:30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</row>
    <row r="76" spans="1:30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</row>
    <row r="77" spans="1:30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</row>
    <row r="78" spans="1:30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</row>
    <row r="79" spans="1:30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</row>
    <row r="80" spans="1:30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</row>
    <row r="81" spans="1:30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</row>
    <row r="82" spans="1:30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</row>
    <row r="83" spans="1:30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</row>
    <row r="84" spans="1:30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</row>
    <row r="85" spans="1:30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</row>
    <row r="86" spans="1:30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</row>
    <row r="87" spans="1:30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</row>
    <row r="88" spans="1:30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</row>
    <row r="89" spans="1:30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</row>
    <row r="90" spans="1:30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</row>
    <row r="91" spans="1:30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</row>
    <row r="92" spans="1:30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</row>
    <row r="93" spans="1:30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</row>
    <row r="94" spans="1:30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</row>
    <row r="95" spans="1:30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</row>
    <row r="96" spans="1:30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</row>
    <row r="97" spans="1:30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</row>
    <row r="98" spans="1:30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</row>
    <row r="99" spans="1:30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</row>
    <row r="100" spans="1:30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</row>
    <row r="101" spans="1:30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</row>
    <row r="102" spans="1:30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0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</row>
    <row r="104" spans="1:30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</row>
    <row r="105" spans="1:30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</row>
    <row r="106" spans="1:30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</row>
    <row r="107" spans="1:30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</row>
    <row r="108" spans="1:30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</row>
    <row r="109" spans="1:30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</row>
    <row r="110" spans="1:30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</row>
    <row r="111" spans="1:30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</row>
    <row r="112" spans="1:30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</row>
    <row r="113" spans="1:30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</row>
    <row r="114" spans="1:30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</row>
    <row r="115" spans="1:30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</row>
    <row r="116" spans="1:30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</row>
    <row r="117" spans="1:30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</row>
    <row r="118" spans="1:30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</row>
    <row r="119" spans="1:30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</row>
    <row r="120" spans="1:30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</row>
    <row r="121" spans="1:30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</row>
    <row r="122" spans="1:30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</row>
    <row r="123" spans="1:30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</row>
    <row r="124" spans="1:30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</row>
    <row r="125" spans="1:30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</row>
    <row r="126" spans="1:30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</row>
    <row r="127" spans="1:30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</row>
    <row r="128" spans="1:30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</row>
    <row r="129" spans="1:30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</row>
    <row r="130" spans="1:30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</row>
    <row r="131" spans="1:30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</row>
    <row r="132" spans="1:30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</row>
    <row r="133" spans="1:30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</row>
    <row r="134" spans="1:30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</row>
    <row r="135" spans="1:30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</row>
    <row r="136" spans="1:30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</row>
    <row r="137" spans="1:30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</row>
    <row r="138" spans="1:30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</row>
    <row r="139" spans="1:30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</row>
    <row r="140" spans="1:30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</row>
    <row r="141" spans="1:30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</row>
    <row r="142" spans="1:30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</row>
    <row r="143" spans="1:30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</row>
    <row r="144" spans="1:30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</row>
    <row r="145" spans="1:30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</row>
    <row r="146" spans="1:30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</row>
    <row r="147" spans="1:30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</row>
    <row r="148" spans="1:30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</row>
    <row r="149" spans="1:30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</row>
    <row r="150" spans="1:30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</row>
    <row r="151" spans="1:30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</row>
    <row r="152" spans="1:30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</row>
    <row r="153" spans="1:30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</row>
    <row r="154" spans="1:30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</row>
    <row r="155" spans="1:30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</row>
    <row r="156" spans="1:30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</row>
    <row r="157" spans="1:30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</row>
    <row r="158" spans="1:30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</row>
    <row r="159" spans="1:30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</row>
    <row r="160" spans="1:30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</row>
    <row r="161" spans="1:30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</row>
    <row r="162" spans="1:30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</row>
    <row r="163" spans="1:30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</row>
    <row r="164" spans="1:30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</row>
    <row r="165" spans="1:30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</row>
    <row r="166" spans="1:30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</row>
    <row r="167" spans="1:30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</row>
    <row r="168" spans="1:30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</row>
    <row r="169" spans="1:30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</row>
    <row r="170" spans="1:30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</row>
    <row r="171" spans="1:30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</row>
    <row r="172" spans="1:30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</row>
    <row r="173" spans="1:30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</row>
    <row r="174" spans="1:30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</row>
    <row r="175" spans="1:30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</row>
    <row r="176" spans="1:30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</row>
    <row r="177" spans="1:30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</row>
    <row r="178" spans="1:30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</row>
    <row r="179" spans="1:30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</row>
    <row r="180" spans="1:30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</row>
    <row r="181" spans="1:30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</row>
    <row r="182" spans="1:30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</row>
    <row r="183" spans="1:30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</row>
    <row r="184" spans="1:30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</row>
    <row r="185" spans="1:30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</row>
    <row r="186" spans="1:30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</row>
    <row r="187" spans="1:30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</row>
    <row r="188" spans="1:30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</row>
    <row r="189" spans="1:30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</row>
    <row r="190" spans="1:30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</row>
    <row r="191" spans="1:30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</row>
    <row r="192" spans="1:30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</row>
    <row r="193" spans="1:30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</row>
    <row r="194" spans="1:30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</row>
    <row r="195" spans="1:30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</row>
    <row r="196" spans="1:30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</row>
    <row r="197" spans="1:30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</row>
    <row r="198" spans="1:30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</row>
    <row r="199" spans="1:30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</row>
    <row r="200" spans="1:30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</row>
    <row r="201" spans="1:30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</row>
    <row r="202" spans="1:30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</row>
    <row r="203" spans="1:30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</row>
    <row r="204" spans="1:30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</row>
    <row r="205" spans="1:30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</row>
    <row r="206" spans="1:30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</row>
    <row r="207" spans="1:30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</row>
    <row r="208" spans="1:30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</row>
    <row r="209" spans="1:30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</row>
    <row r="210" spans="1:30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</row>
    <row r="211" spans="1:30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</row>
    <row r="212" spans="1:30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</row>
    <row r="213" spans="1:30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</row>
    <row r="214" spans="1:30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spans="1:30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spans="1:30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spans="1:30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spans="1:30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spans="1:30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</row>
    <row r="220" spans="1:30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</row>
    <row r="221" spans="1:30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</row>
    <row r="222" spans="1:30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</row>
    <row r="223" spans="1:30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</row>
    <row r="224" spans="1:30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</row>
    <row r="225" spans="1:30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</row>
    <row r="226" spans="1:30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</row>
    <row r="227" spans="1:30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</row>
    <row r="228" spans="1:30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</row>
    <row r="229" spans="1:30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</row>
    <row r="230" spans="1:30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</row>
    <row r="231" spans="1:30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</row>
    <row r="232" spans="1:30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</row>
    <row r="233" spans="1:30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</row>
    <row r="234" spans="1:30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</row>
    <row r="235" spans="1:30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</row>
    <row r="236" spans="1:30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</row>
    <row r="237" spans="1:30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</row>
    <row r="238" spans="1:30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</row>
    <row r="239" spans="1:30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</row>
    <row r="240" spans="1:30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</row>
    <row r="241" spans="1:30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</row>
    <row r="242" spans="1:30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</row>
    <row r="243" spans="1:30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</row>
    <row r="244" spans="1:30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</row>
    <row r="245" spans="1:30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</row>
    <row r="246" spans="1:30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</row>
    <row r="247" spans="1:30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</row>
    <row r="248" spans="1:30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</row>
    <row r="249" spans="1:30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</row>
    <row r="250" spans="1:30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</row>
    <row r="251" spans="1:30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</row>
    <row r="252" spans="1:30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</row>
    <row r="253" spans="1:30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</row>
    <row r="254" spans="1:30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</row>
    <row r="255" spans="1:30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</row>
    <row r="256" spans="1:30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</row>
    <row r="257" spans="1:30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</row>
    <row r="258" spans="1:30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</row>
    <row r="259" spans="1:30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</row>
    <row r="260" spans="1:30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</row>
    <row r="261" spans="1:30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</row>
    <row r="262" spans="1:30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</row>
    <row r="263" spans="1:30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</row>
    <row r="264" spans="1:30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</row>
    <row r="265" spans="1:30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</row>
    <row r="266" spans="1:30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</row>
    <row r="267" spans="1:30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</row>
    <row r="268" spans="1:30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</row>
    <row r="269" spans="1:30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</row>
    <row r="270" spans="1:30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</row>
    <row r="271" spans="1:30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</row>
    <row r="272" spans="1:30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</row>
    <row r="273" spans="1:30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</row>
    <row r="274" spans="1:30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</row>
    <row r="275" spans="1:30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</row>
    <row r="276" spans="1:30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</row>
    <row r="277" spans="1:30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</row>
    <row r="278" spans="1:30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</row>
    <row r="279" spans="1:30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</row>
    <row r="280" spans="1:30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</row>
    <row r="281" spans="1:30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</row>
    <row r="282" spans="1:30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</row>
    <row r="283" spans="1:30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</row>
    <row r="284" spans="1:30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</row>
    <row r="285" spans="1:30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</row>
    <row r="286" spans="1:30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</row>
    <row r="287" spans="1:30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</row>
    <row r="288" spans="1:30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</row>
    <row r="289" spans="1:30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</row>
    <row r="290" spans="1:30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</row>
    <row r="291" spans="1:30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</row>
    <row r="292" spans="1:30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</row>
    <row r="293" spans="1:30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</row>
    <row r="294" spans="1:30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</row>
    <row r="295" spans="1:30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</row>
    <row r="296" spans="1:30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</row>
    <row r="297" spans="1:30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</row>
    <row r="298" spans="1:30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</row>
    <row r="299" spans="1:30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</row>
    <row r="300" spans="1:30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</row>
    <row r="301" spans="1:30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</row>
    <row r="302" spans="1:30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</row>
    <row r="303" spans="1:30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</row>
    <row r="304" spans="1:30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</row>
    <row r="305" spans="1:30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</row>
    <row r="306" spans="1:30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</row>
    <row r="307" spans="1:30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</row>
    <row r="308" spans="1:30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</row>
    <row r="309" spans="1:30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</row>
    <row r="310" spans="1:30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</row>
    <row r="311" spans="1:30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</row>
    <row r="312" spans="1:30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</row>
    <row r="313" spans="1:30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</row>
    <row r="314" spans="1:30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</row>
    <row r="315" spans="1:30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</row>
    <row r="316" spans="1:30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</row>
    <row r="317" spans="1:30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</row>
    <row r="318" spans="1:30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</row>
    <row r="319" spans="1:30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</row>
    <row r="320" spans="1:30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</row>
    <row r="321" spans="1:30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</row>
    <row r="322" spans="1:30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</row>
    <row r="323" spans="1:30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</row>
    <row r="324" spans="1:30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</row>
    <row r="325" spans="1:30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</row>
    <row r="326" spans="1:30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</row>
    <row r="327" spans="1:30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</row>
    <row r="328" spans="1:30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</row>
    <row r="329" spans="1:30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</row>
    <row r="330" spans="1:30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</row>
    <row r="331" spans="1:30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</row>
    <row r="332" spans="1:30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</row>
    <row r="333" spans="1:30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</row>
    <row r="334" spans="1:30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</row>
    <row r="335" spans="1:30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</row>
    <row r="336" spans="1:30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</row>
    <row r="337" spans="1:30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</row>
    <row r="338" spans="1:30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</row>
    <row r="339" spans="1:30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</row>
    <row r="340" spans="1:30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</row>
    <row r="341" spans="1:30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</row>
    <row r="342" spans="1:30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</row>
    <row r="343" spans="1:30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</row>
    <row r="344" spans="1:30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</row>
    <row r="345" spans="1:30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</row>
    <row r="346" spans="1:30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</row>
    <row r="347" spans="1:30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</row>
    <row r="348" spans="1:30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</row>
    <row r="349" spans="1:30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</row>
    <row r="350" spans="1:30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</row>
    <row r="351" spans="1:30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</row>
    <row r="352" spans="1:30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</row>
    <row r="353" spans="1:30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</row>
    <row r="354" spans="1:30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</row>
    <row r="355" spans="1:30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</row>
    <row r="356" spans="1:30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</row>
    <row r="357" spans="1:30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</row>
    <row r="358" spans="1:30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</row>
    <row r="359" spans="1:30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</row>
    <row r="360" spans="1:30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</row>
    <row r="361" spans="1:30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</row>
    <row r="362" spans="1:30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</row>
    <row r="363" spans="1:30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</row>
    <row r="364" spans="1:30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</row>
    <row r="365" spans="1:30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</row>
    <row r="366" spans="1:30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</row>
    <row r="367" spans="1:30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</row>
    <row r="368" spans="1:30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</row>
    <row r="369" spans="1:30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</row>
    <row r="370" spans="1:30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</row>
    <row r="371" spans="1:30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</row>
    <row r="372" spans="1:30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</row>
    <row r="373" spans="1:30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</row>
    <row r="374" spans="1:30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</row>
    <row r="375" spans="1:30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</row>
    <row r="376" spans="1:30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</row>
    <row r="377" spans="1:30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</row>
    <row r="378" spans="1:30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</row>
    <row r="379" spans="1:30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</row>
    <row r="380" spans="1:30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</row>
    <row r="381" spans="1:30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</row>
    <row r="382" spans="1:30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</row>
    <row r="383" spans="1:30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</row>
    <row r="384" spans="1:30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</row>
    <row r="385" spans="1:30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</row>
    <row r="386" spans="1:30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</row>
    <row r="387" spans="1:30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</row>
    <row r="388" spans="1:30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</row>
    <row r="389" spans="1:30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</row>
    <row r="390" spans="1:30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</row>
    <row r="391" spans="1:30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</row>
    <row r="392" spans="1:30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</row>
    <row r="393" spans="1:30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</row>
    <row r="394" spans="1:30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</row>
    <row r="395" spans="1:30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</row>
    <row r="396" spans="1:30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</row>
    <row r="397" spans="1:30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</row>
    <row r="398" spans="1:30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</row>
    <row r="399" spans="1:30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</row>
    <row r="400" spans="1:30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</row>
    <row r="401" spans="1:30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</row>
    <row r="402" spans="1:30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</row>
    <row r="403" spans="1:30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</row>
    <row r="404" spans="1:30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</row>
    <row r="405" spans="1:30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</row>
    <row r="406" spans="1:30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</row>
    <row r="407" spans="1:30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</row>
    <row r="408" spans="1:30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</row>
    <row r="409" spans="1:30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</row>
    <row r="410" spans="1:30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</row>
    <row r="411" spans="1:30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</row>
    <row r="412" spans="1:30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</row>
    <row r="413" spans="1:30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</row>
    <row r="414" spans="1:30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</row>
    <row r="415" spans="1:30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</row>
    <row r="416" spans="1:30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</row>
    <row r="417" spans="1:30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</row>
    <row r="418" spans="1:30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</row>
    <row r="419" spans="1:30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</row>
    <row r="420" spans="1:30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</row>
    <row r="421" spans="1:30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</row>
    <row r="422" spans="1:30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</row>
    <row r="423" spans="1:30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</row>
    <row r="424" spans="1:30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</row>
    <row r="425" spans="1:30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</row>
    <row r="426" spans="1:30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</row>
    <row r="427" spans="1:30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</row>
    <row r="428" spans="1:30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</row>
    <row r="429" spans="1:30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</row>
    <row r="430" spans="1:30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</row>
    <row r="431" spans="1:30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</row>
    <row r="432" spans="1:30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</row>
    <row r="433" spans="1:30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</row>
    <row r="434" spans="1:30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</row>
    <row r="435" spans="1:30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</row>
    <row r="436" spans="1:30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</row>
    <row r="437" spans="1:30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</row>
    <row r="438" spans="1:30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</row>
    <row r="439" spans="1:30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</row>
    <row r="440" spans="1:30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</row>
    <row r="441" spans="1:30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</row>
    <row r="442" spans="1:30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</row>
    <row r="443" spans="1:30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</row>
    <row r="444" spans="1:30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</row>
    <row r="445" spans="1:30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</row>
    <row r="446" spans="1:30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</row>
    <row r="447" spans="1:30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</row>
    <row r="448" spans="1:30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</row>
    <row r="449" spans="1:30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</row>
    <row r="450" spans="1:30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</row>
    <row r="451" spans="1:30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</row>
    <row r="452" spans="1:30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</row>
    <row r="453" spans="1:30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</row>
    <row r="454" spans="1:30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</row>
    <row r="455" spans="1:30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</row>
    <row r="456" spans="1:30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</row>
    <row r="457" spans="1:30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</row>
    <row r="458" spans="1:30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</row>
    <row r="459" spans="1:30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</row>
    <row r="460" spans="1:30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</row>
    <row r="461" spans="1:30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</row>
    <row r="462" spans="1:30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</row>
    <row r="463" spans="1:30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</row>
    <row r="464" spans="1:30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</row>
    <row r="465" spans="1:30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</row>
    <row r="466" spans="1:30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</row>
    <row r="467" spans="1:30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</row>
    <row r="468" spans="1:30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</row>
    <row r="469" spans="1:30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</row>
    <row r="470" spans="1:30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</row>
    <row r="471" spans="1:30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</row>
    <row r="472" spans="1:30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</row>
    <row r="473" spans="1:30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</row>
    <row r="474" spans="1:30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</row>
    <row r="475" spans="1:30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</row>
    <row r="476" spans="1:30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</row>
    <row r="477" spans="1:30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</row>
    <row r="478" spans="1:30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</row>
    <row r="479" spans="1:30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</row>
    <row r="480" spans="1:30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</row>
    <row r="481" spans="1:30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</row>
    <row r="482" spans="1:30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</row>
    <row r="483" spans="1:30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</row>
    <row r="484" spans="1:30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</row>
    <row r="485" spans="1:30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</row>
    <row r="486" spans="1:30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</row>
    <row r="487" spans="1:30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</row>
    <row r="488" spans="1:30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</row>
    <row r="489" spans="1:30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</row>
    <row r="490" spans="1:30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</row>
    <row r="491" spans="1:30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</row>
    <row r="492" spans="1:30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</row>
    <row r="493" spans="1:30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</row>
    <row r="494" spans="1:30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</row>
    <row r="495" spans="1:30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</row>
    <row r="496" spans="1:30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</row>
    <row r="497" spans="1:30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</row>
    <row r="498" spans="1:30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</row>
    <row r="499" spans="1:30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</row>
    <row r="500" spans="1:30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</row>
    <row r="501" spans="1:30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</row>
    <row r="502" spans="1:30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</row>
    <row r="503" spans="1:30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</row>
    <row r="504" spans="1:30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</row>
    <row r="505" spans="1:30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</row>
    <row r="506" spans="1:30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</row>
    <row r="507" spans="1:30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</row>
    <row r="508" spans="1:30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</row>
    <row r="509" spans="1:30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</row>
    <row r="510" spans="1:30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</row>
    <row r="511" spans="1:30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</row>
    <row r="512" spans="1:30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</row>
    <row r="513" spans="1:30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</row>
    <row r="514" spans="1:30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</row>
    <row r="515" spans="1:30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</row>
    <row r="516" spans="1:30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</row>
    <row r="517" spans="1:30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</row>
    <row r="518" spans="1:30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</row>
    <row r="519" spans="1:30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</row>
    <row r="520" spans="1:30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</row>
    <row r="521" spans="1:30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</row>
    <row r="522" spans="1:30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</row>
    <row r="523" spans="1:30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</row>
    <row r="524" spans="1:30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</row>
    <row r="525" spans="1:30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</row>
    <row r="526" spans="1:30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</row>
    <row r="527" spans="1:30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</row>
    <row r="528" spans="1:30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</row>
    <row r="529" spans="1:30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</row>
    <row r="530" spans="1:30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</row>
    <row r="531" spans="1:30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</row>
    <row r="532" spans="1:30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</row>
    <row r="533" spans="1:30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</row>
    <row r="534" spans="1:30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</row>
    <row r="535" spans="1:30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</row>
    <row r="536" spans="1:30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</row>
    <row r="537" spans="1:30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</row>
    <row r="538" spans="1:30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</row>
    <row r="539" spans="1:30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</row>
    <row r="540" spans="1:30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</row>
    <row r="541" spans="1:30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</row>
    <row r="542" spans="1:30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</row>
    <row r="543" spans="1:30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</row>
    <row r="544" spans="1:30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</row>
    <row r="545" spans="1:30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</row>
    <row r="546" spans="1:30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</row>
    <row r="547" spans="1:30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</row>
    <row r="548" spans="1:30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</row>
    <row r="549" spans="1:30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</row>
    <row r="550" spans="1:30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</row>
    <row r="551" spans="1:30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</row>
    <row r="552" spans="1:30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</row>
    <row r="553" spans="1:30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</row>
    <row r="554" spans="1:30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</row>
    <row r="555" spans="1:30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</row>
    <row r="556" spans="1:30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</row>
    <row r="557" spans="1:30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</row>
    <row r="558" spans="1:30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</row>
    <row r="559" spans="1:30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</row>
    <row r="560" spans="1:30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</row>
    <row r="561" spans="1:30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</row>
    <row r="562" spans="1:30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</row>
    <row r="563" spans="1:30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</row>
    <row r="564" spans="1:30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</row>
    <row r="565" spans="1:30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</row>
    <row r="566" spans="1:30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</row>
    <row r="567" spans="1:30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</row>
    <row r="568" spans="1:30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</row>
    <row r="569" spans="1:30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</row>
    <row r="570" spans="1:30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</row>
    <row r="571" spans="1:30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</row>
    <row r="572" spans="1:30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</row>
    <row r="573" spans="1:30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</row>
    <row r="574" spans="1:30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</row>
    <row r="575" spans="1:30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</row>
    <row r="576" spans="1:30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</row>
    <row r="577" spans="1:30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</row>
    <row r="578" spans="1:30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</row>
    <row r="579" spans="1:30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</row>
    <row r="580" spans="1:30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</row>
    <row r="581" spans="1:30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</row>
    <row r="582" spans="1:30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</row>
    <row r="583" spans="1:30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</row>
    <row r="584" spans="1:30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</row>
    <row r="585" spans="1:30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</row>
    <row r="586" spans="1:30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</row>
    <row r="587" spans="1:30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</row>
    <row r="588" spans="1:30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</row>
    <row r="589" spans="1:30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</row>
    <row r="590" spans="1:30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</row>
    <row r="591" spans="1:30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</row>
    <row r="592" spans="1:30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</row>
    <row r="593" spans="1:30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</row>
    <row r="594" spans="1:30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</row>
    <row r="595" spans="1:30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</row>
    <row r="596" spans="1:30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</row>
    <row r="597" spans="1:30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</row>
    <row r="598" spans="1:30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</row>
    <row r="599" spans="1:30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</row>
    <row r="600" spans="1:30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</row>
    <row r="601" spans="1:30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</row>
    <row r="602" spans="1:30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</row>
    <row r="603" spans="1:30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</row>
    <row r="604" spans="1:30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</row>
    <row r="605" spans="1:30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</row>
    <row r="606" spans="1:30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</row>
    <row r="607" spans="1:30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</row>
    <row r="608" spans="1:30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</row>
    <row r="609" spans="1:30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</row>
    <row r="610" spans="1:30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</row>
    <row r="611" spans="1:30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</row>
    <row r="612" spans="1:30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</row>
    <row r="613" spans="1:30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</row>
    <row r="614" spans="1:30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</row>
    <row r="615" spans="1:30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</row>
    <row r="616" spans="1:30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</row>
    <row r="617" spans="1:30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</row>
    <row r="618" spans="1:30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</row>
    <row r="619" spans="1:30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</row>
    <row r="620" spans="1:30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</row>
    <row r="621" spans="1:30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</row>
    <row r="622" spans="1:30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</row>
    <row r="623" spans="1:30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</row>
    <row r="624" spans="1:30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</row>
    <row r="625" spans="1:30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</row>
    <row r="626" spans="1:30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</row>
    <row r="627" spans="1:30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</row>
    <row r="628" spans="1:30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</row>
    <row r="629" spans="1:30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</row>
    <row r="630" spans="1:30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</row>
    <row r="631" spans="1:30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</row>
    <row r="632" spans="1:30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</row>
    <row r="633" spans="1:30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</row>
    <row r="634" spans="1:30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</row>
    <row r="635" spans="1:30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</row>
    <row r="636" spans="1:30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</row>
    <row r="637" spans="1:30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</row>
    <row r="638" spans="1:30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</row>
    <row r="639" spans="1:30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</row>
    <row r="640" spans="1:30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</row>
    <row r="641" spans="1:30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</row>
    <row r="642" spans="1:30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</row>
    <row r="643" spans="1:30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</row>
    <row r="644" spans="1:30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</row>
    <row r="645" spans="1:30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</row>
    <row r="646" spans="1:30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</row>
    <row r="647" spans="1:30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</row>
    <row r="648" spans="1:30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</row>
    <row r="649" spans="1:30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</row>
    <row r="650" spans="1:30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</row>
    <row r="651" spans="1:30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</row>
    <row r="652" spans="1:30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</row>
    <row r="653" spans="1:30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</row>
    <row r="654" spans="1:30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</row>
    <row r="655" spans="1:30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</row>
    <row r="656" spans="1:30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</row>
    <row r="657" spans="1:30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</row>
    <row r="658" spans="1:30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</row>
    <row r="659" spans="1:30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</row>
    <row r="660" spans="1:30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</row>
    <row r="661" spans="1:30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</row>
    <row r="662" spans="1:30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</row>
    <row r="663" spans="1:30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</row>
    <row r="664" spans="1:30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</row>
    <row r="665" spans="1:30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</row>
    <row r="666" spans="1:30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</row>
    <row r="667" spans="1:30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</row>
    <row r="668" spans="1:30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</row>
    <row r="669" spans="1:30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</row>
    <row r="670" spans="1:30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</row>
    <row r="671" spans="1:30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</row>
    <row r="672" spans="1:30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</row>
    <row r="673" spans="1:30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</row>
    <row r="674" spans="1:30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</row>
    <row r="675" spans="1:30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</row>
    <row r="676" spans="1:30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</row>
    <row r="677" spans="1:30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</row>
    <row r="678" spans="1:30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</row>
    <row r="679" spans="1:30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</row>
    <row r="680" spans="1:30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</row>
    <row r="681" spans="1:30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</row>
    <row r="682" spans="1:30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</row>
    <row r="683" spans="1:30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</row>
    <row r="684" spans="1:30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</row>
    <row r="685" spans="1:30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</row>
    <row r="686" spans="1:30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</row>
    <row r="687" spans="1:30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</row>
    <row r="688" spans="1:30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</row>
    <row r="689" spans="1:30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</row>
    <row r="690" spans="1:30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</row>
    <row r="691" spans="1:30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</row>
    <row r="692" spans="1:30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</row>
    <row r="693" spans="1:30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</row>
    <row r="694" spans="1:30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</row>
    <row r="695" spans="1:30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</row>
    <row r="696" spans="1:30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</row>
    <row r="697" spans="1:30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</row>
    <row r="698" spans="1:30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</row>
    <row r="699" spans="1:30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</row>
    <row r="700" spans="1:30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</row>
    <row r="701" spans="1:30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</row>
    <row r="702" spans="1:30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</row>
    <row r="703" spans="1:30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</row>
    <row r="704" spans="1:30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</row>
    <row r="705" spans="1:30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</row>
    <row r="706" spans="1:30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</row>
    <row r="707" spans="1:30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</row>
    <row r="708" spans="1:30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</row>
    <row r="709" spans="1:30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</row>
    <row r="710" spans="1:30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</row>
    <row r="711" spans="1:30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</row>
    <row r="712" spans="1:30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</row>
    <row r="713" spans="1:30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</row>
    <row r="714" spans="1:30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</row>
    <row r="715" spans="1:30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</row>
    <row r="716" spans="1:30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</row>
    <row r="717" spans="1:30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</row>
    <row r="718" spans="1:30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</row>
    <row r="719" spans="1:30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</row>
    <row r="720" spans="1:30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</row>
    <row r="721" spans="1:30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</row>
    <row r="722" spans="1:30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</row>
    <row r="723" spans="1:30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</row>
    <row r="724" spans="1:30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</row>
    <row r="725" spans="1:30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</row>
    <row r="726" spans="1:30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</row>
    <row r="727" spans="1:30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</row>
    <row r="728" spans="1:30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</row>
    <row r="729" spans="1:30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</row>
    <row r="730" spans="1:30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</row>
    <row r="731" spans="1:30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</row>
    <row r="732" spans="1:30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</row>
    <row r="733" spans="1:30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</row>
    <row r="734" spans="1:30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</row>
    <row r="735" spans="1:30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</row>
    <row r="736" spans="1:30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</row>
    <row r="737" spans="1:30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</row>
    <row r="738" spans="1:30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</row>
    <row r="739" spans="1:30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</row>
    <row r="740" spans="1:30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</row>
    <row r="741" spans="1:30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</row>
    <row r="742" spans="1:30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</row>
    <row r="743" spans="1:30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</row>
    <row r="744" spans="1:30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</row>
    <row r="745" spans="1:30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</row>
    <row r="746" spans="1:30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</row>
    <row r="747" spans="1:30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</row>
    <row r="748" spans="1:30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</row>
    <row r="749" spans="1:30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</row>
    <row r="750" spans="1:30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</row>
    <row r="751" spans="1:30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</row>
    <row r="752" spans="1:30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</row>
    <row r="753" spans="1:30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</row>
    <row r="754" spans="1:30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</row>
    <row r="755" spans="1:30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</row>
    <row r="756" spans="1:30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</row>
    <row r="757" spans="1:30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</row>
    <row r="758" spans="1:30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</row>
    <row r="759" spans="1:30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</row>
    <row r="760" spans="1:30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</row>
    <row r="761" spans="1:30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</row>
    <row r="762" spans="1:30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</row>
    <row r="763" spans="1:30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</row>
    <row r="764" spans="1:30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</row>
    <row r="765" spans="1:30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</row>
    <row r="766" spans="1:30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</row>
    <row r="767" spans="1:30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</row>
    <row r="768" spans="1:30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</row>
    <row r="769" spans="1:30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</row>
    <row r="770" spans="1:30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</row>
    <row r="771" spans="1:30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</row>
    <row r="772" spans="1:30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</row>
    <row r="773" spans="1:30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</row>
    <row r="774" spans="1:30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</row>
    <row r="775" spans="1:30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</row>
    <row r="776" spans="1:30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</row>
    <row r="777" spans="1:30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</row>
    <row r="778" spans="1:30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</row>
    <row r="779" spans="1:30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</row>
    <row r="780" spans="1:30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</row>
    <row r="781" spans="1:30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</row>
    <row r="782" spans="1:30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</row>
    <row r="783" spans="1:30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</row>
    <row r="784" spans="1:30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</row>
    <row r="785" spans="1:30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</row>
    <row r="786" spans="1:30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</row>
    <row r="787" spans="1:30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</row>
    <row r="788" spans="1:30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</row>
    <row r="789" spans="1:30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</row>
    <row r="790" spans="1:30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</row>
    <row r="791" spans="1:30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</row>
    <row r="792" spans="1:30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</row>
    <row r="793" spans="1:30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</row>
    <row r="794" spans="1:30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</row>
    <row r="795" spans="1:30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</row>
    <row r="796" spans="1:30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</row>
    <row r="797" spans="1:30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</row>
    <row r="798" spans="1:30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</row>
    <row r="799" spans="1:30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</row>
    <row r="800" spans="1:30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</row>
    <row r="801" spans="1:30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</row>
    <row r="802" spans="1:30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</row>
    <row r="803" spans="1:30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</row>
    <row r="804" spans="1:30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</row>
    <row r="805" spans="1:30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</row>
    <row r="806" spans="1:30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</row>
    <row r="807" spans="1:30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</row>
    <row r="808" spans="1:30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</row>
    <row r="809" spans="1:30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</row>
    <row r="810" spans="1:30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</row>
    <row r="811" spans="1:30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</row>
    <row r="812" spans="1:30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</row>
    <row r="813" spans="1:30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</row>
    <row r="814" spans="1:30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</row>
    <row r="815" spans="1:30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</row>
    <row r="816" spans="1:30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</row>
    <row r="817" spans="1:30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</row>
    <row r="818" spans="1:30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</row>
    <row r="819" spans="1:30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</row>
    <row r="820" spans="1:30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</row>
    <row r="821" spans="1:30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</row>
    <row r="822" spans="1:30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</row>
    <row r="823" spans="1:30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</row>
    <row r="824" spans="1:30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</row>
    <row r="825" spans="1:30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</row>
    <row r="826" spans="1:30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</row>
    <row r="827" spans="1:30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</row>
    <row r="828" spans="1:30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</row>
    <row r="829" spans="1:30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</row>
    <row r="830" spans="1:30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</row>
    <row r="831" spans="1:30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</row>
    <row r="832" spans="1:30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</row>
    <row r="833" spans="1:30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</row>
    <row r="834" spans="1:30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</row>
    <row r="835" spans="1:30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</row>
    <row r="836" spans="1:30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</row>
    <row r="837" spans="1:30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</row>
    <row r="838" spans="1:30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</row>
    <row r="839" spans="1:30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</row>
    <row r="840" spans="1:30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</row>
    <row r="841" spans="1:30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</row>
    <row r="842" spans="1:30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</row>
    <row r="843" spans="1:30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</row>
    <row r="844" spans="1:30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</row>
    <row r="845" spans="1:30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</row>
    <row r="846" spans="1:30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</row>
    <row r="847" spans="1:30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</row>
    <row r="848" spans="1:30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</row>
    <row r="849" spans="1:30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</row>
    <row r="850" spans="1:30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</row>
    <row r="851" spans="1:30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</row>
    <row r="852" spans="1:30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</row>
    <row r="853" spans="1:30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</row>
    <row r="854" spans="1:30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</row>
    <row r="855" spans="1:30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</row>
    <row r="856" spans="1:30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</row>
    <row r="857" spans="1:30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</row>
    <row r="858" spans="1:30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</row>
    <row r="859" spans="1:30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</row>
    <row r="860" spans="1:30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</row>
    <row r="861" spans="1:30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</row>
    <row r="862" spans="1:30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</row>
    <row r="863" spans="1:30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</row>
    <row r="864" spans="1:30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</row>
    <row r="865" spans="1:30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</row>
    <row r="866" spans="1:30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</row>
    <row r="867" spans="1:30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</row>
    <row r="868" spans="1:30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</row>
    <row r="869" spans="1:30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</row>
    <row r="870" spans="1:30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</row>
    <row r="871" spans="1:30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</row>
    <row r="872" spans="1:30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</row>
    <row r="873" spans="1:30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</row>
    <row r="874" spans="1:30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</row>
    <row r="875" spans="1:30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</row>
    <row r="876" spans="1:30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</row>
    <row r="877" spans="1:30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</row>
    <row r="878" spans="1:30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</row>
    <row r="879" spans="1:30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</row>
    <row r="880" spans="1:30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</row>
    <row r="881" spans="1:30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</row>
    <row r="882" spans="1:30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</row>
    <row r="883" spans="1:30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</row>
    <row r="884" spans="1:30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</row>
    <row r="885" spans="1:30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</row>
    <row r="886" spans="1:30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</row>
    <row r="887" spans="1:30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</row>
    <row r="888" spans="1:30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</row>
    <row r="889" spans="1:30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</row>
    <row r="890" spans="1:30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</row>
    <row r="891" spans="1:30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</row>
    <row r="892" spans="1:30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</row>
    <row r="893" spans="1:30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</row>
    <row r="894" spans="1:30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</row>
    <row r="895" spans="1:30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</row>
    <row r="896" spans="1:30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</row>
    <row r="897" spans="1:30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</row>
    <row r="898" spans="1:30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</row>
    <row r="899" spans="1:30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</row>
    <row r="900" spans="1:30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</row>
    <row r="901" spans="1:30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</row>
    <row r="902" spans="1:30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</row>
    <row r="903" spans="1:30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</row>
    <row r="904" spans="1:30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</row>
    <row r="905" spans="1:30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</row>
    <row r="906" spans="1:30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</row>
    <row r="907" spans="1:30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</row>
    <row r="908" spans="1:30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</row>
    <row r="909" spans="1:30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</row>
    <row r="910" spans="1:30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</row>
    <row r="911" spans="1:30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</row>
    <row r="912" spans="1:30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</row>
    <row r="913" spans="1:30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</row>
    <row r="914" spans="1:30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</row>
    <row r="915" spans="1:30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</row>
    <row r="916" spans="1:30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</row>
    <row r="917" spans="1:30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</row>
    <row r="918" spans="1:30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</row>
    <row r="919" spans="1:30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</row>
    <row r="920" spans="1:30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</row>
    <row r="921" spans="1:30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</row>
    <row r="922" spans="1:30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</row>
    <row r="923" spans="1:30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</row>
    <row r="924" spans="1:30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</row>
    <row r="925" spans="1:30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</row>
    <row r="926" spans="1:30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</row>
    <row r="927" spans="1:30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</row>
    <row r="928" spans="1:30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</row>
    <row r="929" spans="1:30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</row>
    <row r="930" spans="1:30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</row>
    <row r="931" spans="1:30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</row>
    <row r="932" spans="1:30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</row>
    <row r="933" spans="1:30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</row>
    <row r="934" spans="1:30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</row>
    <row r="935" spans="1:30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</row>
    <row r="936" spans="1:30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</row>
    <row r="937" spans="1:30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</row>
    <row r="938" spans="1:30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</row>
    <row r="939" spans="1:30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</row>
    <row r="940" spans="1:30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</row>
    <row r="941" spans="1:30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</row>
    <row r="942" spans="1:30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</row>
    <row r="943" spans="1:30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</row>
    <row r="944" spans="1:30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</row>
    <row r="945" spans="1:30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</row>
    <row r="946" spans="1:30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</row>
    <row r="947" spans="1:30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</row>
    <row r="948" spans="1:30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</row>
    <row r="949" spans="1:30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</row>
    <row r="950" spans="1:30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</row>
    <row r="951" spans="1:30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</row>
    <row r="952" spans="1:30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</row>
    <row r="953" spans="1:30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</row>
    <row r="954" spans="1:30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</row>
    <row r="955" spans="1:30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</row>
    <row r="956" spans="1:30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</row>
    <row r="957" spans="1:30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</row>
    <row r="958" spans="1:30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</row>
    <row r="959" spans="1:30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</row>
    <row r="960" spans="1:30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</row>
    <row r="961" spans="1:30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</row>
    <row r="962" spans="1:30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</row>
    <row r="963" spans="1:30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</row>
    <row r="964" spans="1:30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</row>
    <row r="965" spans="1:30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</row>
    <row r="966" spans="1:30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</row>
    <row r="967" spans="1:30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</row>
    <row r="968" spans="1:30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</row>
    <row r="969" spans="1:30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</row>
    <row r="970" spans="1:30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</row>
    <row r="971" spans="1:30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</row>
    <row r="972" spans="1:30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</row>
    <row r="973" spans="1:30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</row>
    <row r="974" spans="1:30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</row>
    <row r="975" spans="1:30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</row>
    <row r="976" spans="1:30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</row>
    <row r="977" spans="1:30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</row>
    <row r="978" spans="1:30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</row>
    <row r="979" spans="1:30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</row>
    <row r="980" spans="1:30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</row>
    <row r="981" spans="1:30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</row>
    <row r="982" spans="1:30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</row>
    <row r="983" spans="1:30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</row>
    <row r="984" spans="1:30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</row>
    <row r="985" spans="1:30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</row>
    <row r="986" spans="1:30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</row>
    <row r="987" spans="1:30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</row>
    <row r="988" spans="1:30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</row>
    <row r="989" spans="1:30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</row>
    <row r="990" spans="1:30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</row>
    <row r="991" spans="1:30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</row>
    <row r="992" spans="1:30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</row>
    <row r="993" spans="1:30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</row>
    <row r="994" spans="1:30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</row>
    <row r="995" spans="1:30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</row>
    <row r="996" spans="1:30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</row>
    <row r="997" spans="1:30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</row>
    <row r="998" spans="1:30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</row>
    <row r="999" spans="1:30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</row>
    <row r="1000" spans="1:30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</row>
    <row r="1001" spans="1:30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</row>
    <row r="1002" spans="1:30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</row>
    <row r="1003" spans="1:30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</row>
    <row r="1004" spans="1:30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</row>
    <row r="1005" spans="1:30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</row>
    <row r="1006" spans="1:30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</row>
  </sheetData>
  <mergeCells count="11">
    <mergeCell ref="F8:H8"/>
    <mergeCell ref="F21:G21"/>
    <mergeCell ref="G25:H25"/>
    <mergeCell ref="F27:H27"/>
    <mergeCell ref="B1:H2"/>
    <mergeCell ref="B3:H3"/>
    <mergeCell ref="B5:D5"/>
    <mergeCell ref="F5:H5"/>
    <mergeCell ref="C7:D7"/>
    <mergeCell ref="G7:H7"/>
    <mergeCell ref="B8:D8"/>
  </mergeCells>
  <dataValidations count="14">
    <dataValidation type="list" allowBlank="1" showErrorMessage="1" sqref="C35" xr:uid="{00000000-0002-0000-0000-000000000000}">
      <formula1>hit_loc_die_list</formula1>
    </dataValidation>
    <dataValidation type="list" allowBlank="1" sqref="C13" xr:uid="{00000000-0002-0000-0000-000001000000}">
      <formula1>targeting_list</formula1>
    </dataValidation>
    <dataValidation type="list" allowBlank="1" sqref="C6" xr:uid="{00000000-0002-0000-0000-000002000000}">
      <formula1>attacks_list</formula1>
    </dataValidation>
    <dataValidation type="list" allowBlank="1" sqref="G6" xr:uid="{00000000-0002-0000-0000-000003000000}">
      <formula1>defense_list</formula1>
    </dataValidation>
    <dataValidation type="list" allowBlank="1" sqref="C16:C19 G15:G19 C21:C22 G28 C24:C32" xr:uid="{00000000-0002-0000-0000-000004000000}">
      <formula1>"N,Y"</formula1>
    </dataValidation>
    <dataValidation type="list" allowBlank="1" showErrorMessage="1" sqref="G23" xr:uid="{00000000-0002-0000-0000-000005000000}">
      <formula1>random_hit_roll</formula1>
    </dataValidation>
    <dataValidation type="list" allowBlank="1" sqref="C20" xr:uid="{00000000-0002-0000-0000-000006000000}">
      <formula1>"0,1,2,3"</formula1>
    </dataValidation>
    <dataValidation type="list" allowBlank="1" sqref="G12" xr:uid="{00000000-0002-0000-0000-000007000000}">
      <formula1>size_list</formula1>
    </dataValidation>
    <dataValidation type="list" allowBlank="1" sqref="G34" xr:uid="{00000000-0002-0000-0000-000008000000}">
      <formula1>resist_list</formula1>
    </dataValidation>
    <dataValidation type="list" allowBlank="1" sqref="C23" xr:uid="{00000000-0002-0000-0000-000009000000}">
      <formula1>"0,1,2,3"</formula1>
    </dataValidation>
    <dataValidation type="list" allowBlank="1" sqref="C14" xr:uid="{00000000-0002-0000-0000-00000A000000}">
      <formula1>range_list</formula1>
    </dataValidation>
    <dataValidation type="list" allowBlank="1" sqref="G22 C34" xr:uid="{00000000-0002-0000-0000-00000B000000}">
      <formula1>"Humanoid,Monster"</formula1>
    </dataValidation>
    <dataValidation type="list" allowBlank="1" sqref="C12" xr:uid="{00000000-0002-0000-0000-00000C000000}">
      <formula1>strike_list</formula1>
    </dataValidation>
    <dataValidation type="list" allowBlank="1" sqref="G14 C15" xr:uid="{00000000-0002-0000-0000-00000D000000}">
      <formula1>light_list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outlinePr summaryBelow="0" summaryRight="0"/>
  </sheetPr>
  <dimension ref="A1:BR1000"/>
  <sheetViews>
    <sheetView zoomScale="40" zoomScaleNormal="40" workbookViewId="0">
      <selection activeCell="BM2" sqref="BM2"/>
    </sheetView>
  </sheetViews>
  <sheetFormatPr defaultColWidth="14.42578125" defaultRowHeight="15.75" customHeight="1"/>
  <cols>
    <col min="1" max="1" width="4.7109375" customWidth="1"/>
    <col min="2" max="2" width="19.85546875" customWidth="1"/>
    <col min="3" max="3" width="5.28515625" customWidth="1"/>
    <col min="4" max="4" width="4.7109375" customWidth="1"/>
    <col min="5" max="5" width="19.85546875" customWidth="1"/>
    <col min="6" max="6" width="5.28515625" customWidth="1"/>
    <col min="7" max="7" width="11.5703125" customWidth="1"/>
    <col min="8" max="8" width="7.42578125" customWidth="1"/>
    <col min="9" max="9" width="8.28515625" customWidth="1"/>
    <col min="10" max="10" width="7.42578125" customWidth="1"/>
    <col min="11" max="11" width="2.85546875" customWidth="1"/>
    <col min="12" max="12" width="8.5703125" customWidth="1"/>
    <col min="13" max="13" width="4.28515625" customWidth="1"/>
    <col min="14" max="15" width="20.7109375" customWidth="1"/>
    <col min="16" max="16" width="14.5703125" customWidth="1"/>
    <col min="17" max="17" width="18.140625" customWidth="1"/>
    <col min="18" max="18" width="22.5703125" customWidth="1"/>
    <col min="19" max="19" width="26.85546875" customWidth="1"/>
    <col min="20" max="20" width="1.7109375" customWidth="1"/>
    <col min="21" max="21" width="20.28515625" customWidth="1"/>
    <col min="22" max="22" width="5" customWidth="1"/>
    <col min="23" max="23" width="5.5703125" customWidth="1"/>
    <col min="24" max="24" width="2.140625" customWidth="1"/>
    <col min="25" max="25" width="18.140625" customWidth="1"/>
    <col min="26" max="26" width="3.85546875" customWidth="1"/>
    <col min="27" max="27" width="5" customWidth="1"/>
    <col min="28" max="28" width="2.42578125" customWidth="1"/>
    <col min="29" max="29" width="18.28515625" customWidth="1"/>
    <col min="30" max="30" width="5" customWidth="1"/>
    <col min="31" max="31" width="2.140625" customWidth="1"/>
    <col min="32" max="32" width="16.28515625" customWidth="1"/>
    <col min="33" max="33" width="5" customWidth="1"/>
    <col min="34" max="34" width="3.140625" customWidth="1"/>
    <col min="35" max="35" width="22.28515625" customWidth="1"/>
    <col min="36" max="36" width="25.42578125" customWidth="1"/>
    <col min="37" max="37" width="8.7109375" customWidth="1"/>
    <col min="38" max="38" width="39" customWidth="1"/>
    <col min="39" max="39" width="3.140625" customWidth="1"/>
    <col min="40" max="40" width="28.42578125" customWidth="1"/>
    <col min="41" max="41" width="32.5703125" customWidth="1"/>
    <col min="42" max="42" width="5.140625" customWidth="1"/>
    <col min="43" max="43" width="48.85546875" customWidth="1"/>
    <col min="44" max="44" width="10.28515625" customWidth="1"/>
    <col min="45" max="45" width="18.5703125" customWidth="1"/>
    <col min="46" max="46" width="14.28515625" customWidth="1"/>
    <col min="47" max="47" width="3.140625" customWidth="1"/>
    <col min="48" max="48" width="14" customWidth="1"/>
    <col min="49" max="49" width="8.42578125" customWidth="1"/>
    <col min="50" max="50" width="5.42578125" customWidth="1"/>
    <col min="51" max="51" width="3.85546875" customWidth="1"/>
    <col min="52" max="52" width="20.140625" customWidth="1"/>
    <col min="53" max="53" width="7.7109375" customWidth="1"/>
    <col min="54" max="54" width="4.140625" customWidth="1"/>
    <col min="56" max="56" width="9.42578125" customWidth="1"/>
    <col min="57" max="57" width="21.85546875" customWidth="1"/>
    <col min="58" max="58" width="2.85546875" customWidth="1"/>
    <col min="59" max="59" width="11.85546875" customWidth="1"/>
    <col min="60" max="60" width="5" customWidth="1"/>
    <col min="61" max="61" width="3.5703125" customWidth="1"/>
    <col min="62" max="62" width="27.140625" customWidth="1"/>
    <col min="63" max="63" width="42.140625" customWidth="1"/>
    <col min="64" max="64" width="33.140625" customWidth="1"/>
    <col min="65" max="65" width="27.140625" customWidth="1"/>
    <col min="66" max="66" width="2.28515625" customWidth="1"/>
    <col min="67" max="67" width="27" customWidth="1"/>
    <col min="68" max="70" width="27.140625" customWidth="1"/>
  </cols>
  <sheetData>
    <row r="1" spans="1:70">
      <c r="A1" s="33" t="s">
        <v>65</v>
      </c>
      <c r="B1" s="33" t="s">
        <v>66</v>
      </c>
      <c r="C1" s="34"/>
      <c r="D1" s="33" t="s">
        <v>65</v>
      </c>
      <c r="E1" s="33" t="s">
        <v>67</v>
      </c>
      <c r="F1" s="34"/>
      <c r="G1" s="33" t="s">
        <v>68</v>
      </c>
      <c r="H1" s="33" t="s">
        <v>69</v>
      </c>
      <c r="I1" s="33" t="s">
        <v>70</v>
      </c>
      <c r="J1" s="33" t="s">
        <v>71</v>
      </c>
      <c r="K1" s="33"/>
      <c r="L1" s="33" t="s">
        <v>72</v>
      </c>
      <c r="M1" s="33" t="s">
        <v>65</v>
      </c>
      <c r="N1" s="33" t="s">
        <v>73</v>
      </c>
      <c r="O1" s="33" t="s">
        <v>74</v>
      </c>
      <c r="P1" s="33" t="s">
        <v>75</v>
      </c>
      <c r="Q1" s="33" t="s">
        <v>76</v>
      </c>
      <c r="R1" s="33" t="s">
        <v>77</v>
      </c>
      <c r="S1" s="33" t="s">
        <v>78</v>
      </c>
      <c r="T1" s="33"/>
      <c r="U1" s="33" t="s">
        <v>16</v>
      </c>
      <c r="V1" s="33" t="s">
        <v>79</v>
      </c>
      <c r="W1" s="33"/>
      <c r="X1" s="33"/>
      <c r="Y1" s="33" t="s">
        <v>19</v>
      </c>
      <c r="Z1" s="33" t="s">
        <v>80</v>
      </c>
      <c r="AA1" s="33" t="s">
        <v>79</v>
      </c>
      <c r="AB1" s="33" t="s">
        <v>81</v>
      </c>
      <c r="AC1" s="33" t="s">
        <v>14</v>
      </c>
      <c r="AD1" s="33" t="s">
        <v>79</v>
      </c>
      <c r="AE1" s="35"/>
      <c r="AF1" s="33" t="s">
        <v>22</v>
      </c>
      <c r="AG1" s="33" t="s">
        <v>79</v>
      </c>
      <c r="AH1" s="33"/>
      <c r="AI1" s="33" t="s">
        <v>82</v>
      </c>
      <c r="AJ1" s="33" t="s">
        <v>11</v>
      </c>
      <c r="AK1" s="33" t="s">
        <v>79</v>
      </c>
      <c r="AL1" s="33" t="s">
        <v>83</v>
      </c>
      <c r="AM1" s="35"/>
      <c r="AN1" s="33" t="s">
        <v>84</v>
      </c>
      <c r="AO1" s="33" t="s">
        <v>11</v>
      </c>
      <c r="AP1" s="33" t="s">
        <v>79</v>
      </c>
      <c r="AQ1" s="33" t="s">
        <v>83</v>
      </c>
      <c r="AR1" s="33" t="s">
        <v>85</v>
      </c>
      <c r="AS1" s="33" t="s">
        <v>86</v>
      </c>
      <c r="AT1" s="33" t="s">
        <v>87</v>
      </c>
      <c r="AU1" s="35"/>
      <c r="AV1" s="33" t="s">
        <v>45</v>
      </c>
      <c r="AW1" s="33" t="s">
        <v>88</v>
      </c>
      <c r="AX1" s="33" t="s">
        <v>89</v>
      </c>
      <c r="AY1" s="33"/>
      <c r="AZ1" s="33" t="s">
        <v>90</v>
      </c>
      <c r="BA1" s="33" t="s">
        <v>91</v>
      </c>
      <c r="BB1" s="35"/>
      <c r="BC1" s="33" t="s">
        <v>54</v>
      </c>
      <c r="BD1" s="33" t="s">
        <v>92</v>
      </c>
      <c r="BE1" s="33" t="s">
        <v>93</v>
      </c>
      <c r="BF1" s="35"/>
      <c r="BG1" s="33" t="s">
        <v>94</v>
      </c>
      <c r="BH1" s="33" t="s">
        <v>79</v>
      </c>
      <c r="BI1" s="35"/>
      <c r="BJ1" s="33" t="s">
        <v>95</v>
      </c>
      <c r="BK1" s="33" t="s">
        <v>96</v>
      </c>
      <c r="BL1" s="33" t="s">
        <v>97</v>
      </c>
      <c r="BM1" s="33" t="s">
        <v>98</v>
      </c>
      <c r="BN1" s="33"/>
      <c r="BO1" s="33" t="s">
        <v>99</v>
      </c>
      <c r="BP1" s="33"/>
      <c r="BQ1" s="33"/>
      <c r="BR1" s="33"/>
    </row>
    <row r="2" spans="1:70">
      <c r="A2" s="36">
        <v>1</v>
      </c>
      <c r="B2" s="36" t="s">
        <v>100</v>
      </c>
      <c r="C2" s="37"/>
      <c r="D2" s="36">
        <v>1</v>
      </c>
      <c r="E2" s="36" t="s">
        <v>101</v>
      </c>
      <c r="F2" s="37"/>
      <c r="G2" s="36" t="s">
        <v>102</v>
      </c>
      <c r="H2" s="36">
        <v>7</v>
      </c>
      <c r="I2" s="36">
        <v>10</v>
      </c>
      <c r="J2" s="36">
        <v>2</v>
      </c>
      <c r="K2" s="36"/>
      <c r="L2" s="36"/>
      <c r="M2" s="36">
        <v>2</v>
      </c>
      <c r="N2" s="36" t="s">
        <v>103</v>
      </c>
      <c r="O2" s="36" t="s">
        <v>104</v>
      </c>
      <c r="P2" s="36" t="s">
        <v>105</v>
      </c>
      <c r="Q2" s="36" t="s">
        <v>106</v>
      </c>
      <c r="R2" s="36" t="s">
        <v>107</v>
      </c>
      <c r="S2" s="36" t="s">
        <v>108</v>
      </c>
      <c r="T2" s="36"/>
      <c r="U2" s="36" t="s">
        <v>17</v>
      </c>
      <c r="V2" s="36">
        <v>0</v>
      </c>
      <c r="W2" s="36">
        <v>1</v>
      </c>
      <c r="X2" s="36"/>
      <c r="Y2" s="36" t="s">
        <v>109</v>
      </c>
      <c r="Z2" s="36">
        <v>10</v>
      </c>
      <c r="AA2" s="36">
        <v>5</v>
      </c>
      <c r="AB2" s="38"/>
      <c r="AC2" s="36" t="s">
        <v>110</v>
      </c>
      <c r="AD2" s="36">
        <v>2</v>
      </c>
      <c r="AE2" s="38"/>
      <c r="AF2" s="36" t="s">
        <v>111</v>
      </c>
      <c r="AG2" s="36">
        <v>-3</v>
      </c>
      <c r="AH2" s="36"/>
      <c r="AI2" s="36" t="s">
        <v>112</v>
      </c>
      <c r="AJ2" s="36" t="s">
        <v>80</v>
      </c>
      <c r="AK2" s="36">
        <v>0</v>
      </c>
      <c r="AL2" s="39" t="s">
        <v>113</v>
      </c>
      <c r="AM2" s="38"/>
      <c r="AN2" s="36" t="s">
        <v>114</v>
      </c>
      <c r="AO2" s="36" t="s">
        <v>115</v>
      </c>
      <c r="AP2" s="36"/>
      <c r="AQ2" s="39" t="s">
        <v>113</v>
      </c>
      <c r="AR2" s="36"/>
      <c r="AS2" s="36" t="s">
        <v>116</v>
      </c>
      <c r="AT2" s="36" t="str">
        <f>IFERROR(IF(regexmatch(VLOOKUP('Combat calc'!$C$6,attacks,6,FALSE),"Fastx1"),"Fastx1",""),"")</f>
        <v/>
      </c>
      <c r="AU2" s="38"/>
      <c r="AV2" s="36">
        <v>7</v>
      </c>
      <c r="AW2" s="36" t="s">
        <v>75</v>
      </c>
      <c r="AX2" s="36">
        <v>3</v>
      </c>
      <c r="AY2" s="36"/>
      <c r="AZ2" s="36" t="s">
        <v>117</v>
      </c>
      <c r="BA2" s="36">
        <v>2</v>
      </c>
      <c r="BB2" s="38"/>
      <c r="BC2" s="36" t="s">
        <v>55</v>
      </c>
      <c r="BD2" s="36">
        <v>1</v>
      </c>
      <c r="BE2" s="38"/>
      <c r="BF2" s="38"/>
      <c r="BG2" s="36">
        <v>1</v>
      </c>
      <c r="BH2" s="36">
        <v>-4</v>
      </c>
      <c r="BI2" s="38"/>
      <c r="BJ2" s="36" t="s">
        <v>105</v>
      </c>
      <c r="BK2" s="36" t="s">
        <v>118</v>
      </c>
      <c r="BL2" s="36" t="s">
        <v>119</v>
      </c>
      <c r="BM2" s="36" t="s">
        <v>120</v>
      </c>
      <c r="BN2" s="36"/>
      <c r="BO2" s="1" t="str">
        <f>'Combat calc'!F21</f>
        <v>MISS!</v>
      </c>
      <c r="BP2" s="36"/>
      <c r="BQ2" s="36"/>
      <c r="BR2" s="36"/>
    </row>
    <row r="3" spans="1:70">
      <c r="A3" s="36">
        <v>2</v>
      </c>
      <c r="B3" s="36" t="s">
        <v>121</v>
      </c>
      <c r="C3" s="37"/>
      <c r="D3" s="36">
        <v>2</v>
      </c>
      <c r="E3" s="36" t="s">
        <v>122</v>
      </c>
      <c r="F3" s="37"/>
      <c r="G3" s="36" t="s">
        <v>123</v>
      </c>
      <c r="H3" s="36">
        <v>9</v>
      </c>
      <c r="I3" s="36">
        <v>10</v>
      </c>
      <c r="J3" s="36">
        <v>3</v>
      </c>
      <c r="K3" s="36"/>
      <c r="L3" s="36"/>
      <c r="M3" s="36">
        <v>3</v>
      </c>
      <c r="N3" s="36" t="s">
        <v>124</v>
      </c>
      <c r="O3" s="36" t="s">
        <v>125</v>
      </c>
      <c r="P3" s="36" t="s">
        <v>105</v>
      </c>
      <c r="Q3" s="36" t="s">
        <v>106</v>
      </c>
      <c r="R3" s="36" t="s">
        <v>107</v>
      </c>
      <c r="S3" s="36" t="s">
        <v>108</v>
      </c>
      <c r="T3" s="36"/>
      <c r="U3" s="36" t="s">
        <v>100</v>
      </c>
      <c r="V3" s="36">
        <v>-6</v>
      </c>
      <c r="W3" s="36">
        <v>3</v>
      </c>
      <c r="X3" s="36"/>
      <c r="Y3" s="36" t="s">
        <v>20</v>
      </c>
      <c r="Z3" s="36">
        <v>10</v>
      </c>
      <c r="AA3" s="36">
        <v>0</v>
      </c>
      <c r="AB3" s="38"/>
      <c r="AC3" s="36" t="s">
        <v>15</v>
      </c>
      <c r="AD3" s="36">
        <v>0</v>
      </c>
      <c r="AE3" s="38"/>
      <c r="AF3" s="36" t="s">
        <v>126</v>
      </c>
      <c r="AG3" s="36">
        <v>0</v>
      </c>
      <c r="AH3" s="36"/>
      <c r="AI3" s="36" t="s">
        <v>6</v>
      </c>
      <c r="AJ3" s="36" t="s">
        <v>127</v>
      </c>
      <c r="AK3" s="36">
        <v>0</v>
      </c>
      <c r="AL3" s="39" t="s">
        <v>113</v>
      </c>
      <c r="AM3" s="38"/>
      <c r="AN3" s="36" t="s">
        <v>128</v>
      </c>
      <c r="AO3" s="36" t="s">
        <v>115</v>
      </c>
      <c r="AP3" s="36"/>
      <c r="AQ3" s="36" t="s">
        <v>129</v>
      </c>
      <c r="AR3" s="36"/>
      <c r="AS3" s="36" t="s">
        <v>130</v>
      </c>
      <c r="AT3" s="36" t="str">
        <f>IFERROR(IF(regexmatch(VLOOKUP('Combat calc'!$C$6,attacks,6,FALSE),"Fastx2"),"Fastx2",""),"")</f>
        <v>Fastx2</v>
      </c>
      <c r="AU3" s="38"/>
      <c r="AV3" s="36">
        <v>10</v>
      </c>
      <c r="AW3" s="36" t="s">
        <v>76</v>
      </c>
      <c r="AX3" s="36">
        <v>5</v>
      </c>
      <c r="AY3" s="36"/>
      <c r="AZ3" s="36" t="s">
        <v>131</v>
      </c>
      <c r="BA3" s="36">
        <v>5</v>
      </c>
      <c r="BB3" s="38"/>
      <c r="BC3" s="36" t="s">
        <v>132</v>
      </c>
      <c r="BD3" s="36">
        <v>0.5</v>
      </c>
      <c r="BE3" s="38"/>
      <c r="BF3" s="38"/>
      <c r="BG3" s="36">
        <v>3</v>
      </c>
      <c r="BH3" s="36">
        <v>-2</v>
      </c>
      <c r="BI3" s="38"/>
      <c r="BJ3" s="36" t="s">
        <v>133</v>
      </c>
      <c r="BK3" s="36" t="s">
        <v>134</v>
      </c>
      <c r="BL3" s="36" t="s">
        <v>135</v>
      </c>
      <c r="BM3" s="36" t="s">
        <v>136</v>
      </c>
      <c r="BN3" s="36"/>
      <c r="BO3" s="36"/>
      <c r="BP3" s="36"/>
      <c r="BQ3" s="36"/>
      <c r="BR3" s="36"/>
    </row>
    <row r="4" spans="1:70">
      <c r="A4" s="36">
        <v>5</v>
      </c>
      <c r="B4" s="36" t="s">
        <v>137</v>
      </c>
      <c r="C4" s="37"/>
      <c r="D4" s="36">
        <v>6</v>
      </c>
      <c r="E4" s="36" t="s">
        <v>104</v>
      </c>
      <c r="F4" s="37"/>
      <c r="G4" s="36" t="s">
        <v>138</v>
      </c>
      <c r="H4" s="36">
        <v>5</v>
      </c>
      <c r="I4" s="36">
        <v>6</v>
      </c>
      <c r="J4" s="36">
        <v>4</v>
      </c>
      <c r="K4" s="36"/>
      <c r="L4" s="36"/>
      <c r="M4" s="36">
        <v>4</v>
      </c>
      <c r="N4" s="36" t="s">
        <v>137</v>
      </c>
      <c r="O4" s="36" t="s">
        <v>104</v>
      </c>
      <c r="P4" s="36" t="s">
        <v>133</v>
      </c>
      <c r="Q4" s="36" t="s">
        <v>139</v>
      </c>
      <c r="R4" s="36" t="s">
        <v>140</v>
      </c>
      <c r="S4" s="36" t="s">
        <v>141</v>
      </c>
      <c r="T4" s="36"/>
      <c r="U4" s="36" t="s">
        <v>121</v>
      </c>
      <c r="V4" s="36">
        <v>-1</v>
      </c>
      <c r="W4" s="36">
        <v>1</v>
      </c>
      <c r="X4" s="36"/>
      <c r="Y4" s="36" t="s">
        <v>142</v>
      </c>
      <c r="Z4" s="36">
        <v>15</v>
      </c>
      <c r="AA4" s="36">
        <v>0</v>
      </c>
      <c r="AB4" s="38"/>
      <c r="AC4" s="36" t="s">
        <v>143</v>
      </c>
      <c r="AD4" s="36">
        <v>-2</v>
      </c>
      <c r="AE4" s="38"/>
      <c r="AF4" s="36" t="s">
        <v>144</v>
      </c>
      <c r="AG4" s="36">
        <v>-2</v>
      </c>
      <c r="AH4" s="36"/>
      <c r="AI4" s="36" t="s">
        <v>145</v>
      </c>
      <c r="AJ4" s="36" t="s">
        <v>146</v>
      </c>
      <c r="AK4" s="36">
        <v>0</v>
      </c>
      <c r="AL4" s="36" t="s">
        <v>147</v>
      </c>
      <c r="AM4" s="38"/>
      <c r="AN4" s="36" t="s">
        <v>148</v>
      </c>
      <c r="AO4" s="36" t="s">
        <v>115</v>
      </c>
      <c r="AP4" s="36"/>
      <c r="AQ4" s="36" t="s">
        <v>149</v>
      </c>
      <c r="AR4" s="36"/>
      <c r="AS4" s="36" t="s">
        <v>150</v>
      </c>
      <c r="AT4" s="36" t="str">
        <f>IFERROR(IF(regexmatch(VLOOKUP('Combat calc'!$C$6,attacks,6,FALSE),"Normal"),"Normal",""),"")</f>
        <v/>
      </c>
      <c r="AU4" s="38"/>
      <c r="AV4" s="36">
        <v>13</v>
      </c>
      <c r="AW4" s="36" t="s">
        <v>77</v>
      </c>
      <c r="AX4" s="36">
        <v>8</v>
      </c>
      <c r="AY4" s="36"/>
      <c r="AZ4" s="36" t="s">
        <v>151</v>
      </c>
      <c r="BA4" s="36">
        <v>7</v>
      </c>
      <c r="BB4" s="38"/>
      <c r="BC4" s="36" t="s">
        <v>152</v>
      </c>
      <c r="BD4" s="36">
        <v>2</v>
      </c>
      <c r="BE4" s="38"/>
      <c r="BF4" s="38"/>
      <c r="BG4" s="36">
        <v>5</v>
      </c>
      <c r="BH4" s="36">
        <v>0</v>
      </c>
      <c r="BI4" s="38"/>
      <c r="BJ4" s="36" t="s">
        <v>117</v>
      </c>
      <c r="BK4" s="36" t="s">
        <v>153</v>
      </c>
      <c r="BL4" s="36" t="s">
        <v>154</v>
      </c>
      <c r="BM4" s="36" t="s">
        <v>155</v>
      </c>
      <c r="BN4" s="36"/>
      <c r="BO4" s="36" t="str">
        <f>IF(regexmatch($BO$2,"1d6"),MIN(BO3+1,6),IF(regexmatch($BO$2,"1d10"),MIN(BO3+1,10),IF(regexmatch($BO$2,"2d6"),MAX(MIN(BO3+1,12),2),"")))</f>
        <v/>
      </c>
      <c r="BP4" s="36"/>
      <c r="BQ4" s="36"/>
      <c r="BR4" s="36"/>
    </row>
    <row r="5" spans="1:70">
      <c r="A5" s="36">
        <v>6</v>
      </c>
      <c r="B5" s="36" t="s">
        <v>156</v>
      </c>
      <c r="C5" s="37"/>
      <c r="D5" s="36">
        <v>8</v>
      </c>
      <c r="E5" s="36" t="s">
        <v>125</v>
      </c>
      <c r="F5" s="37"/>
      <c r="G5" s="36" t="s">
        <v>157</v>
      </c>
      <c r="H5" s="36">
        <v>6</v>
      </c>
      <c r="I5" s="36">
        <v>8</v>
      </c>
      <c r="J5" s="36">
        <v>5</v>
      </c>
      <c r="K5" s="36"/>
      <c r="L5" s="36"/>
      <c r="M5" s="36">
        <v>5</v>
      </c>
      <c r="N5" s="36" t="s">
        <v>156</v>
      </c>
      <c r="O5" s="36" t="s">
        <v>125</v>
      </c>
      <c r="P5" s="36" t="s">
        <v>133</v>
      </c>
      <c r="Q5" s="36" t="s">
        <v>139</v>
      </c>
      <c r="R5" s="36" t="s">
        <v>140</v>
      </c>
      <c r="S5" s="36" t="s">
        <v>141</v>
      </c>
      <c r="T5" s="36"/>
      <c r="U5" s="36" t="s">
        <v>137</v>
      </c>
      <c r="V5" s="36">
        <v>-3</v>
      </c>
      <c r="W5" s="36">
        <v>0.5</v>
      </c>
      <c r="X5" s="36"/>
      <c r="Y5" s="36" t="s">
        <v>158</v>
      </c>
      <c r="Z5" s="36">
        <v>20</v>
      </c>
      <c r="AA5" s="36">
        <v>-2</v>
      </c>
      <c r="AB5" s="38"/>
      <c r="AC5" s="36" t="s">
        <v>159</v>
      </c>
      <c r="AD5" s="36">
        <v>-4</v>
      </c>
      <c r="AE5" s="38"/>
      <c r="AF5" s="38"/>
      <c r="AG5" s="38"/>
      <c r="AH5" s="36"/>
      <c r="AI5" s="36" t="s">
        <v>160</v>
      </c>
      <c r="AJ5" s="36" t="s">
        <v>161</v>
      </c>
      <c r="AK5" s="36">
        <v>0</v>
      </c>
      <c r="AL5" s="36" t="s">
        <v>162</v>
      </c>
      <c r="AM5" s="38"/>
      <c r="AN5" s="36" t="s">
        <v>163</v>
      </c>
      <c r="AO5" s="36" t="s">
        <v>115</v>
      </c>
      <c r="AP5" s="36"/>
      <c r="AQ5" s="36" t="s">
        <v>164</v>
      </c>
      <c r="AR5" s="36">
        <v>0.5</v>
      </c>
      <c r="AS5" s="36" t="s">
        <v>165</v>
      </c>
      <c r="AT5" s="36" t="str">
        <f>IFERROR(IF(regexmatch(VLOOKUP('Combat calc'!$C$6,attacks,6,FALSE),"Strong"),"Strong",""),"")</f>
        <v>Strong</v>
      </c>
      <c r="AU5" s="38"/>
      <c r="AV5" s="36">
        <v>15</v>
      </c>
      <c r="AW5" s="36" t="s">
        <v>78</v>
      </c>
      <c r="AX5" s="36">
        <v>10</v>
      </c>
      <c r="AY5" s="36"/>
      <c r="AZ5" s="36" t="s">
        <v>166</v>
      </c>
      <c r="BA5" s="36">
        <v>7</v>
      </c>
      <c r="BB5" s="38"/>
      <c r="BC5" s="36" t="s">
        <v>167</v>
      </c>
      <c r="BD5" s="36">
        <v>1</v>
      </c>
      <c r="BE5" s="36" t="s">
        <v>168</v>
      </c>
      <c r="BF5" s="38"/>
      <c r="BG5" s="36">
        <v>7</v>
      </c>
      <c r="BH5" s="36">
        <v>2</v>
      </c>
      <c r="BI5" s="38"/>
      <c r="BJ5" s="36" t="s">
        <v>169</v>
      </c>
      <c r="BK5" s="36" t="s">
        <v>170</v>
      </c>
      <c r="BL5" s="36" t="s">
        <v>171</v>
      </c>
      <c r="BM5" s="36" t="s">
        <v>172</v>
      </c>
      <c r="BN5" s="36"/>
      <c r="BO5" s="42" t="str">
        <f>IF(regexmatch($BO$2,"1d6"),MIN(BO4+1,6),IF(regexmatch($BO$2,"1d10"),MIN(BO4+1,10),IF(regexmatch($BO$2,"2d6"),MAX(MIN(BO4+1,12),2),"")))</f>
        <v/>
      </c>
      <c r="BP5" s="36"/>
      <c r="BQ5" s="36"/>
      <c r="BR5" s="36"/>
    </row>
    <row r="6" spans="1:70">
      <c r="A6" s="36">
        <v>7</v>
      </c>
      <c r="B6" s="36" t="s">
        <v>103</v>
      </c>
      <c r="C6" s="37"/>
      <c r="D6" s="36">
        <v>10</v>
      </c>
      <c r="E6" s="36" t="s">
        <v>173</v>
      </c>
      <c r="F6" s="37"/>
      <c r="G6" s="36" t="s">
        <v>174</v>
      </c>
      <c r="H6" s="36">
        <v>9</v>
      </c>
      <c r="I6" s="36">
        <v>2</v>
      </c>
      <c r="J6" s="36">
        <v>6</v>
      </c>
      <c r="K6" s="36"/>
      <c r="L6" s="36">
        <v>1</v>
      </c>
      <c r="M6" s="36">
        <v>6</v>
      </c>
      <c r="N6" s="36" t="s">
        <v>121</v>
      </c>
      <c r="O6" s="36" t="s">
        <v>122</v>
      </c>
      <c r="P6" s="36" t="s">
        <v>117</v>
      </c>
      <c r="Q6" s="36" t="s">
        <v>175</v>
      </c>
      <c r="R6" s="36" t="s">
        <v>166</v>
      </c>
      <c r="S6" s="36" t="s">
        <v>176</v>
      </c>
      <c r="T6" s="36"/>
      <c r="U6" s="36" t="s">
        <v>156</v>
      </c>
      <c r="V6" s="36">
        <v>-3</v>
      </c>
      <c r="W6" s="36">
        <v>0.5</v>
      </c>
      <c r="X6" s="36"/>
      <c r="Y6" s="36" t="s">
        <v>177</v>
      </c>
      <c r="Z6" s="36">
        <v>25</v>
      </c>
      <c r="AA6" s="36">
        <v>-4</v>
      </c>
      <c r="AB6" s="38"/>
      <c r="AC6" s="38"/>
      <c r="AD6" s="38"/>
      <c r="AE6" s="38"/>
      <c r="AF6" s="38"/>
      <c r="AG6" s="38"/>
      <c r="AH6" s="36"/>
      <c r="AI6" s="36" t="s">
        <v>178</v>
      </c>
      <c r="AJ6" s="36" t="s">
        <v>115</v>
      </c>
      <c r="AK6" s="36">
        <v>0</v>
      </c>
      <c r="AL6" s="36" t="s">
        <v>179</v>
      </c>
      <c r="AM6" s="38"/>
      <c r="AN6" s="36" t="s">
        <v>180</v>
      </c>
      <c r="AO6" s="36" t="s">
        <v>115</v>
      </c>
      <c r="AP6" s="36"/>
      <c r="AQ6" s="36" t="s">
        <v>181</v>
      </c>
      <c r="AR6" s="36"/>
      <c r="AS6" s="36" t="s">
        <v>150</v>
      </c>
      <c r="AT6" s="36" t="str">
        <f>IFERROR(IF(regexmatch(VLOOKUP('Combat calc'!$C$6,attacks,6,FALSE),"Joint"),"Joint",""),"")</f>
        <v/>
      </c>
      <c r="AU6" s="38"/>
      <c r="AV6" s="38"/>
      <c r="AW6" s="38"/>
      <c r="AX6" s="38"/>
      <c r="AY6" s="38"/>
      <c r="AZ6" s="36" t="s">
        <v>176</v>
      </c>
      <c r="BA6" s="36">
        <v>10</v>
      </c>
      <c r="BB6" s="38"/>
      <c r="BC6" s="38"/>
      <c r="BD6" s="38"/>
      <c r="BE6" s="38"/>
      <c r="BF6" s="38"/>
      <c r="BG6" s="36">
        <v>9</v>
      </c>
      <c r="BH6" s="36">
        <v>4</v>
      </c>
      <c r="BI6" s="38"/>
      <c r="BJ6" s="36" t="s">
        <v>182</v>
      </c>
      <c r="BK6" s="36" t="s">
        <v>183</v>
      </c>
      <c r="BL6" s="36" t="s">
        <v>184</v>
      </c>
      <c r="BM6" s="36" t="s">
        <v>185</v>
      </c>
      <c r="BN6" s="36"/>
      <c r="BO6" s="42" t="str">
        <f>IF(regexmatch($BO$2,"1d6"),MIN(BO5+1,6),IF(regexmatch($BO$2,"1d10"),MIN(BO5+1,10),IF(regexmatch($BO$2,"2d6"),MAX(MIN(BO5+1,12),2),"")))</f>
        <v/>
      </c>
      <c r="BP6" s="36"/>
      <c r="BQ6" s="36"/>
      <c r="BR6" s="36"/>
    </row>
    <row r="7" spans="1:70">
      <c r="A7" s="36">
        <v>9</v>
      </c>
      <c r="B7" s="36" t="s">
        <v>124</v>
      </c>
      <c r="C7" s="37"/>
      <c r="D7" s="36"/>
      <c r="E7" s="36"/>
      <c r="F7" s="37"/>
      <c r="G7" s="36" t="s">
        <v>186</v>
      </c>
      <c r="H7" s="36">
        <v>7</v>
      </c>
      <c r="I7" s="36">
        <v>2</v>
      </c>
      <c r="J7" s="36">
        <v>6</v>
      </c>
      <c r="K7" s="36"/>
      <c r="L7" s="36"/>
      <c r="M7" s="36">
        <v>7</v>
      </c>
      <c r="N7" s="36" t="s">
        <v>121</v>
      </c>
      <c r="O7" s="36" t="s">
        <v>122</v>
      </c>
      <c r="P7" s="36" t="s">
        <v>117</v>
      </c>
      <c r="Q7" s="36" t="s">
        <v>175</v>
      </c>
      <c r="R7" s="36" t="s">
        <v>166</v>
      </c>
      <c r="S7" s="36" t="s">
        <v>176</v>
      </c>
      <c r="T7" s="36"/>
      <c r="U7" s="36" t="s">
        <v>103</v>
      </c>
      <c r="V7" s="36">
        <v>-2</v>
      </c>
      <c r="W7" s="36">
        <v>0.5</v>
      </c>
      <c r="X7" s="38"/>
      <c r="Y7" s="36" t="s">
        <v>187</v>
      </c>
      <c r="Z7" s="36">
        <v>30</v>
      </c>
      <c r="AA7" s="36">
        <v>-6</v>
      </c>
      <c r="AB7" s="38"/>
      <c r="AC7" s="38"/>
      <c r="AD7" s="38"/>
      <c r="AE7" s="38"/>
      <c r="AF7" s="38"/>
      <c r="AG7" s="38"/>
      <c r="AH7" s="36"/>
      <c r="AI7" s="36" t="s">
        <v>188</v>
      </c>
      <c r="AJ7" s="36" t="s">
        <v>189</v>
      </c>
      <c r="AK7" s="36">
        <v>0</v>
      </c>
      <c r="AL7" s="36" t="str">
        <f>"Limb used to block takes "&amp;IF(dmg_total&lt;1,"total DMG after SP",dmg_total&amp;" DMG")</f>
        <v>Limb used to block takes total DMG after SP</v>
      </c>
      <c r="AM7" s="38"/>
      <c r="AN7" s="36" t="s">
        <v>190</v>
      </c>
      <c r="AO7" s="36" t="s">
        <v>115</v>
      </c>
      <c r="AP7" s="36">
        <v>3</v>
      </c>
      <c r="AQ7" s="36" t="s">
        <v>191</v>
      </c>
      <c r="AR7" s="36"/>
      <c r="AS7" s="36" t="s">
        <v>13</v>
      </c>
      <c r="AT7" s="36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6">
        <v>11</v>
      </c>
      <c r="BH7" s="36">
        <v>6</v>
      </c>
      <c r="BI7" s="38"/>
      <c r="BJ7" s="36" t="s">
        <v>192</v>
      </c>
      <c r="BK7" s="36" t="s">
        <v>193</v>
      </c>
      <c r="BL7" s="36" t="s">
        <v>194</v>
      </c>
      <c r="BM7" s="36" t="s">
        <v>195</v>
      </c>
      <c r="BN7" s="36"/>
      <c r="BO7" s="42" t="str">
        <f>IF(regexmatch($BO$2,"1d6"),MIN(BO6+1,6),IF(regexmatch($BO$2,"1d10"),MIN(BO6+1,10),IF(regexmatch($BO$2,"2d6"),MAX(MIN(BO6+1,12),2),"")))</f>
        <v/>
      </c>
      <c r="BP7" s="36"/>
      <c r="BQ7" s="36"/>
      <c r="BR7" s="36"/>
    </row>
    <row r="8" spans="1:70">
      <c r="A8" s="36"/>
      <c r="B8" s="36"/>
      <c r="C8" s="37"/>
      <c r="D8" s="36"/>
      <c r="E8" s="36"/>
      <c r="F8" s="37"/>
      <c r="G8" s="36" t="s">
        <v>196</v>
      </c>
      <c r="H8" s="36">
        <v>6</v>
      </c>
      <c r="I8" s="36">
        <v>2</v>
      </c>
      <c r="J8" s="36">
        <v>7</v>
      </c>
      <c r="K8" s="36"/>
      <c r="L8" s="36"/>
      <c r="M8" s="36">
        <v>8</v>
      </c>
      <c r="N8" s="36" t="s">
        <v>121</v>
      </c>
      <c r="O8" s="36" t="s">
        <v>122</v>
      </c>
      <c r="P8" s="36" t="s">
        <v>117</v>
      </c>
      <c r="Q8" s="36" t="s">
        <v>175</v>
      </c>
      <c r="R8" s="36" t="s">
        <v>166</v>
      </c>
      <c r="S8" s="36" t="s">
        <v>176</v>
      </c>
      <c r="T8" s="36"/>
      <c r="U8" s="36" t="s">
        <v>124</v>
      </c>
      <c r="V8" s="36">
        <v>-2</v>
      </c>
      <c r="W8" s="36">
        <v>0.5</v>
      </c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6"/>
      <c r="AI8" s="36" t="s">
        <v>197</v>
      </c>
      <c r="AJ8" s="36" t="s">
        <v>161</v>
      </c>
      <c r="AK8" s="36">
        <v>-3</v>
      </c>
      <c r="AL8" s="36" t="s">
        <v>198</v>
      </c>
      <c r="AM8" s="38"/>
      <c r="AN8" s="36" t="s">
        <v>199</v>
      </c>
      <c r="AO8" s="36" t="s">
        <v>115</v>
      </c>
      <c r="AP8" s="36"/>
      <c r="AQ8" s="36" t="s">
        <v>200</v>
      </c>
      <c r="AR8" s="36"/>
      <c r="AS8" s="36" t="s">
        <v>201</v>
      </c>
      <c r="AT8" s="36"/>
      <c r="AU8" s="40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6">
        <v>13</v>
      </c>
      <c r="BH8" s="36">
        <v>8</v>
      </c>
      <c r="BI8" s="38"/>
      <c r="BJ8" s="36" t="s">
        <v>139</v>
      </c>
      <c r="BK8" s="36" t="s">
        <v>202</v>
      </c>
      <c r="BL8" s="36" t="s">
        <v>134</v>
      </c>
      <c r="BM8" s="36" t="s">
        <v>203</v>
      </c>
      <c r="BN8" s="36"/>
      <c r="BO8" s="42" t="str">
        <f>IF(regexmatch($BO$2,"1d6"),MIN(BO7+1,6),IF(regexmatch($BO$2,"1d10"),MIN(BO7+1,10),IF(regexmatch($BO$2,"2d6"),MAX(MIN(BO7+1,12),2),"")))</f>
        <v/>
      </c>
      <c r="BP8" s="36"/>
      <c r="BQ8" s="36"/>
      <c r="BR8" s="36"/>
    </row>
    <row r="9" spans="1:70">
      <c r="A9" s="36"/>
      <c r="B9" s="36"/>
      <c r="C9" s="37"/>
      <c r="D9" s="36"/>
      <c r="E9" s="36"/>
      <c r="F9" s="37"/>
      <c r="G9" s="36" t="s">
        <v>204</v>
      </c>
      <c r="H9" s="36">
        <v>5</v>
      </c>
      <c r="I9" s="36">
        <v>2</v>
      </c>
      <c r="J9" s="36">
        <v>8</v>
      </c>
      <c r="K9" s="36"/>
      <c r="L9" s="36">
        <v>5</v>
      </c>
      <c r="M9" s="36">
        <v>9</v>
      </c>
      <c r="N9" s="36" t="s">
        <v>121</v>
      </c>
      <c r="O9" s="36" t="s">
        <v>122</v>
      </c>
      <c r="P9" s="36" t="s">
        <v>169</v>
      </c>
      <c r="Q9" s="36" t="s">
        <v>131</v>
      </c>
      <c r="R9" s="36" t="s">
        <v>151</v>
      </c>
      <c r="S9" s="36" t="s">
        <v>205</v>
      </c>
      <c r="T9" s="36"/>
      <c r="U9" s="36" t="s">
        <v>101</v>
      </c>
      <c r="V9" s="36">
        <v>-6</v>
      </c>
      <c r="W9" s="36">
        <v>3</v>
      </c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6"/>
      <c r="AI9" s="36" t="s">
        <v>206</v>
      </c>
      <c r="AJ9" s="36" t="s">
        <v>115</v>
      </c>
      <c r="AK9" s="36">
        <v>-3</v>
      </c>
      <c r="AL9" s="36" t="s">
        <v>198</v>
      </c>
      <c r="AM9" s="38"/>
      <c r="AN9" s="41" t="s">
        <v>207</v>
      </c>
      <c r="AO9" s="41" t="s">
        <v>115</v>
      </c>
      <c r="AP9" s="42"/>
      <c r="AQ9" s="41" t="s">
        <v>208</v>
      </c>
      <c r="AR9" s="36"/>
      <c r="AS9" s="36" t="s">
        <v>116</v>
      </c>
      <c r="AT9" s="36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6" t="s">
        <v>106</v>
      </c>
      <c r="BK9" s="36" t="s">
        <v>209</v>
      </c>
      <c r="BL9" s="36" t="s">
        <v>118</v>
      </c>
      <c r="BM9" s="36" t="s">
        <v>119</v>
      </c>
      <c r="BN9" s="36"/>
      <c r="BO9" s="42" t="str">
        <f>IF(regexmatch($BO$2,"1d6"),MIN(BO8+1,6),IF(regexmatch($BO$2,"1d10"),MIN(BO8+1,10),IF(regexmatch($BO$2,"2d6"),MAX(MIN(BO8+1,12),2),"")))</f>
        <v/>
      </c>
      <c r="BP9" s="36"/>
      <c r="BQ9" s="36"/>
      <c r="BR9" s="36"/>
    </row>
    <row r="10" spans="1:70">
      <c r="A10" s="36"/>
      <c r="B10" s="36"/>
      <c r="C10" s="37"/>
      <c r="D10" s="36"/>
      <c r="E10" s="36"/>
      <c r="F10" s="37"/>
      <c r="G10" s="36" t="s">
        <v>57</v>
      </c>
      <c r="H10" s="36">
        <v>7</v>
      </c>
      <c r="I10" s="36">
        <v>2</v>
      </c>
      <c r="J10" s="36">
        <v>9</v>
      </c>
      <c r="K10" s="36"/>
      <c r="L10" s="36"/>
      <c r="M10" s="36">
        <v>10</v>
      </c>
      <c r="N10" s="36" t="s">
        <v>121</v>
      </c>
      <c r="O10" s="36" t="s">
        <v>122</v>
      </c>
      <c r="P10" s="36" t="s">
        <v>169</v>
      </c>
      <c r="Q10" s="36" t="s">
        <v>131</v>
      </c>
      <c r="R10" s="36" t="s">
        <v>151</v>
      </c>
      <c r="S10" s="36" t="s">
        <v>205</v>
      </c>
      <c r="T10" s="36"/>
      <c r="U10" s="36" t="s">
        <v>122</v>
      </c>
      <c r="V10" s="36">
        <v>-1</v>
      </c>
      <c r="W10" s="36">
        <v>1</v>
      </c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6"/>
      <c r="AI10" s="36" t="s">
        <v>210</v>
      </c>
      <c r="AJ10" s="36" t="s">
        <v>189</v>
      </c>
      <c r="AK10" s="36">
        <v>-3</v>
      </c>
      <c r="AL10" s="36" t="s">
        <v>198</v>
      </c>
      <c r="AM10" s="38"/>
      <c r="AN10" s="41" t="s">
        <v>211</v>
      </c>
      <c r="AO10" s="41" t="s">
        <v>115</v>
      </c>
      <c r="AP10" s="42"/>
      <c r="AQ10" s="41" t="s">
        <v>212</v>
      </c>
      <c r="AR10" s="36">
        <f>2</f>
        <v>2</v>
      </c>
      <c r="AS10" s="36" t="s">
        <v>116</v>
      </c>
      <c r="AT10" s="36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6" t="s">
        <v>175</v>
      </c>
      <c r="BK10" s="36" t="s">
        <v>213</v>
      </c>
      <c r="BL10" s="36" t="s">
        <v>214</v>
      </c>
      <c r="BM10" s="36" t="s">
        <v>215</v>
      </c>
      <c r="BN10" s="36"/>
      <c r="BO10" s="42" t="str">
        <f>IF(regexmatch($BO$2,"1d6"),MIN(BO9+1,6),IF(regexmatch($BO$2,"1d10"),MIN(BO9+1,10),IF(regexmatch($BO$2,"2d6"),MAX(MIN(BO9+1,12),2),"")))</f>
        <v/>
      </c>
      <c r="BP10" s="36"/>
      <c r="BQ10" s="36"/>
      <c r="BR10" s="36"/>
    </row>
    <row r="11" spans="1:70">
      <c r="A11" s="38"/>
      <c r="B11" s="38"/>
      <c r="C11" s="43"/>
      <c r="D11" s="38"/>
      <c r="E11" s="38"/>
      <c r="F11" s="43"/>
      <c r="G11" s="36" t="s">
        <v>216</v>
      </c>
      <c r="H11" s="36">
        <v>2</v>
      </c>
      <c r="I11" s="36">
        <v>2</v>
      </c>
      <c r="J11" s="36">
        <v>10</v>
      </c>
      <c r="K11" s="36"/>
      <c r="L11" s="36">
        <v>1</v>
      </c>
      <c r="M11" s="36">
        <v>11</v>
      </c>
      <c r="N11" s="36" t="s">
        <v>100</v>
      </c>
      <c r="O11" s="36" t="s">
        <v>101</v>
      </c>
      <c r="P11" s="36" t="s">
        <v>182</v>
      </c>
      <c r="Q11" s="36" t="s">
        <v>217</v>
      </c>
      <c r="R11" s="36" t="s">
        <v>218</v>
      </c>
      <c r="S11" s="36" t="s">
        <v>219</v>
      </c>
      <c r="T11" s="38"/>
      <c r="U11" s="36" t="s">
        <v>104</v>
      </c>
      <c r="V11" s="36">
        <v>-3</v>
      </c>
      <c r="W11" s="36">
        <v>0.5</v>
      </c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6"/>
      <c r="AI11" s="36" t="s">
        <v>220</v>
      </c>
      <c r="AJ11" s="36" t="s">
        <v>161</v>
      </c>
      <c r="AK11" s="36">
        <v>-5</v>
      </c>
      <c r="AL11" s="36" t="s">
        <v>198</v>
      </c>
      <c r="AM11" s="38"/>
      <c r="AN11" s="41" t="s">
        <v>221</v>
      </c>
      <c r="AO11" s="41" t="s">
        <v>115</v>
      </c>
      <c r="AP11" s="42"/>
      <c r="AQ11" s="41" t="s">
        <v>222</v>
      </c>
      <c r="AR11" s="36">
        <f>4</f>
        <v>4</v>
      </c>
      <c r="AS11" s="36" t="s">
        <v>116</v>
      </c>
      <c r="AT11" s="36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6" t="s">
        <v>131</v>
      </c>
      <c r="BK11" s="36" t="s">
        <v>223</v>
      </c>
      <c r="BL11" s="36" t="s">
        <v>224</v>
      </c>
      <c r="BM11" s="36" t="s">
        <v>225</v>
      </c>
      <c r="BN11" s="36"/>
      <c r="BO11" s="42" t="str">
        <f>IF(regexmatch($BO$2,"1d6"),MIN(BO10+1,6),IF(regexmatch($BO$2,"1d10"),MIN(BO10+1,10),IF(regexmatch($BO$2,"2d6"),MAX(MIN(BO10+1,12),2),"")))</f>
        <v/>
      </c>
      <c r="BP11" s="36"/>
      <c r="BQ11" s="36"/>
      <c r="BR11" s="36"/>
    </row>
    <row r="12" spans="1:70">
      <c r="A12" s="38"/>
      <c r="B12" s="38"/>
      <c r="C12" s="43"/>
      <c r="D12" s="38"/>
      <c r="E12" s="38"/>
      <c r="F12" s="43"/>
      <c r="G12" s="36" t="s">
        <v>226</v>
      </c>
      <c r="H12" s="36">
        <v>2</v>
      </c>
      <c r="I12" s="36">
        <v>2</v>
      </c>
      <c r="J12" s="36">
        <v>11</v>
      </c>
      <c r="K12" s="36"/>
      <c r="L12" s="36">
        <v>5</v>
      </c>
      <c r="M12" s="36">
        <v>12</v>
      </c>
      <c r="N12" s="36" t="s">
        <v>100</v>
      </c>
      <c r="O12" s="36" t="s">
        <v>101</v>
      </c>
      <c r="P12" s="36" t="s">
        <v>192</v>
      </c>
      <c r="Q12" s="36" t="s">
        <v>227</v>
      </c>
      <c r="R12" s="36" t="s">
        <v>228</v>
      </c>
      <c r="S12" s="36" t="s">
        <v>229</v>
      </c>
      <c r="T12" s="38"/>
      <c r="U12" s="36" t="s">
        <v>125</v>
      </c>
      <c r="V12" s="36">
        <v>-3</v>
      </c>
      <c r="W12" s="36">
        <v>0.5</v>
      </c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6"/>
      <c r="AI12" s="36" t="s">
        <v>230</v>
      </c>
      <c r="AJ12" s="36" t="s">
        <v>115</v>
      </c>
      <c r="AK12" s="36">
        <v>-5</v>
      </c>
      <c r="AL12" s="36" t="s">
        <v>198</v>
      </c>
      <c r="AM12" s="38"/>
      <c r="AN12" s="36" t="s">
        <v>231</v>
      </c>
      <c r="AO12" s="36" t="s">
        <v>189</v>
      </c>
      <c r="AP12" s="36"/>
      <c r="AQ12" s="36" t="s">
        <v>232</v>
      </c>
      <c r="AR12" s="36"/>
      <c r="AS12" s="36" t="s">
        <v>116</v>
      </c>
      <c r="AT12" s="36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6" t="s">
        <v>233</v>
      </c>
      <c r="BK12" s="36" t="s">
        <v>234</v>
      </c>
      <c r="BL12" s="36" t="s">
        <v>235</v>
      </c>
      <c r="BM12" s="36" t="s">
        <v>194</v>
      </c>
      <c r="BN12" s="36"/>
      <c r="BO12" s="42" t="str">
        <f>IF(regexmatch($BO$2,"1d6"),MIN(BO11+1,6),IF(regexmatch($BO$2,"1d10"),MIN(BO11+1,10),IF(regexmatch($BO$2,"2d6"),MAX(MIN(BO11+1,12),2),"")))</f>
        <v/>
      </c>
      <c r="BP12" s="36"/>
      <c r="BQ12" s="36"/>
      <c r="BR12" s="36"/>
    </row>
    <row r="13" spans="1:70">
      <c r="A13" s="38"/>
      <c r="B13" s="38"/>
      <c r="C13" s="43"/>
      <c r="D13" s="38"/>
      <c r="E13" s="38"/>
      <c r="F13" s="43"/>
      <c r="G13" s="36" t="s">
        <v>236</v>
      </c>
      <c r="H13" s="36">
        <v>1</v>
      </c>
      <c r="I13" s="36">
        <v>1</v>
      </c>
      <c r="J13" s="36">
        <v>12</v>
      </c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6" t="s">
        <v>173</v>
      </c>
      <c r="V13" s="36">
        <v>-2</v>
      </c>
      <c r="W13" s="36">
        <v>0.5</v>
      </c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6"/>
      <c r="AI13" s="36" t="s">
        <v>237</v>
      </c>
      <c r="AJ13" s="36" t="s">
        <v>189</v>
      </c>
      <c r="AK13" s="36">
        <v>-5</v>
      </c>
      <c r="AL13" s="36" t="s">
        <v>198</v>
      </c>
      <c r="AM13" s="38"/>
      <c r="AN13" s="36" t="s">
        <v>238</v>
      </c>
      <c r="AO13" s="36" t="s">
        <v>189</v>
      </c>
      <c r="AP13" s="36"/>
      <c r="AQ13" s="36" t="s">
        <v>239</v>
      </c>
      <c r="AR13" s="36"/>
      <c r="AS13" s="36" t="s">
        <v>116</v>
      </c>
      <c r="AT13" s="36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6" t="s">
        <v>227</v>
      </c>
      <c r="BK13" s="36" t="s">
        <v>240</v>
      </c>
      <c r="BL13" s="36" t="s">
        <v>241</v>
      </c>
      <c r="BM13" s="36" t="s">
        <v>242</v>
      </c>
      <c r="BN13" s="36"/>
      <c r="BO13" s="42" t="str">
        <f>IF(regexmatch($BO$2,"1d6"),MIN(BO12+1,6),IF(regexmatch($BO$2,"1d10"),MIN(BO12+1,10),IF(regexmatch($BO$2,"2d6"),MAX(MIN(BO12+1,12),2),"")))</f>
        <v/>
      </c>
      <c r="BP13" s="36"/>
      <c r="BQ13" s="36"/>
      <c r="BR13" s="36"/>
    </row>
    <row r="14" spans="1:70">
      <c r="A14" s="38"/>
      <c r="B14" s="38"/>
      <c r="C14" s="43"/>
      <c r="D14" s="38"/>
      <c r="E14" s="38"/>
      <c r="F14" s="43"/>
      <c r="G14" s="38"/>
      <c r="H14" s="38"/>
      <c r="I14" s="38"/>
      <c r="J14" s="38"/>
      <c r="K14" s="38"/>
      <c r="L14" s="38"/>
      <c r="M14" s="38"/>
      <c r="N14" s="38"/>
      <c r="O14" s="38"/>
      <c r="P14" s="36"/>
      <c r="Q14" s="36"/>
      <c r="R14" s="36"/>
      <c r="S14" s="38"/>
      <c r="T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6" t="s">
        <v>243</v>
      </c>
      <c r="AO14" s="36" t="s">
        <v>189</v>
      </c>
      <c r="AP14" s="36"/>
      <c r="AQ14" s="36" t="s">
        <v>244</v>
      </c>
      <c r="AR14" s="36">
        <v>0.5</v>
      </c>
      <c r="AS14" s="36" t="s">
        <v>150</v>
      </c>
      <c r="AT14" s="36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6" t="s">
        <v>107</v>
      </c>
      <c r="BK14" s="36" t="s">
        <v>245</v>
      </c>
      <c r="BL14" s="36" t="s">
        <v>246</v>
      </c>
      <c r="BM14" s="36" t="s">
        <v>118</v>
      </c>
      <c r="BN14" s="36"/>
      <c r="BO14" s="42" t="str">
        <f>IF(regexmatch($BO$2,"1d6"),MIN(BO13+1,6),IF(regexmatch($BO$2,"1d10"),MIN(BO13+1,10),IF(regexmatch($BO$2,"2d6"),MAX(MIN(BO13+1,12),2),"")))</f>
        <v/>
      </c>
      <c r="BP14" s="36"/>
      <c r="BQ14" s="36"/>
      <c r="BR14" s="36"/>
    </row>
    <row r="15" spans="1:70">
      <c r="A15" s="38"/>
      <c r="B15" s="38"/>
      <c r="C15" s="43"/>
      <c r="D15" s="38"/>
      <c r="E15" s="38"/>
      <c r="F15" s="43"/>
      <c r="G15" s="38"/>
      <c r="H15" s="38"/>
      <c r="I15" s="38"/>
      <c r="J15" s="38"/>
      <c r="K15" s="38"/>
      <c r="L15" s="38"/>
      <c r="M15" s="38"/>
      <c r="N15" s="38"/>
      <c r="O15" s="38"/>
      <c r="P15" s="36"/>
      <c r="Q15" s="36"/>
      <c r="R15" s="38"/>
      <c r="S15" s="38"/>
      <c r="T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6" t="s">
        <v>247</v>
      </c>
      <c r="AO15" s="36" t="s">
        <v>189</v>
      </c>
      <c r="AP15" s="36"/>
      <c r="AQ15" s="36" t="s">
        <v>129</v>
      </c>
      <c r="AR15" s="36"/>
      <c r="AS15" s="36" t="s">
        <v>130</v>
      </c>
      <c r="AT15" s="36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6" t="s">
        <v>140</v>
      </c>
      <c r="BK15" s="36" t="s">
        <v>248</v>
      </c>
      <c r="BL15" s="36" t="s">
        <v>249</v>
      </c>
      <c r="BM15" s="36" t="s">
        <v>250</v>
      </c>
      <c r="BN15" s="36"/>
      <c r="BO15" s="42" t="str">
        <f>IF(regexmatch($BO$2,"1d6"),MIN(BO14+1,6),IF(regexmatch($BO$2,"1d10"),MIN(BO14+1,10),IF(regexmatch($BO$2,"2d6"),MAX(MIN(BO14+1,12),2),"")))</f>
        <v/>
      </c>
      <c r="BP15" s="36"/>
      <c r="BQ15" s="36"/>
      <c r="BR15" s="36"/>
    </row>
    <row r="16" spans="1:70">
      <c r="A16" s="38"/>
      <c r="B16" s="38"/>
      <c r="C16" s="43"/>
      <c r="D16" s="38"/>
      <c r="E16" s="38"/>
      <c r="F16" s="43"/>
      <c r="G16" s="38"/>
      <c r="H16" s="38"/>
      <c r="I16" s="38"/>
      <c r="J16" s="38"/>
      <c r="K16" s="38"/>
      <c r="L16" s="38"/>
      <c r="M16" s="38"/>
      <c r="N16" s="38"/>
      <c r="O16" s="38"/>
      <c r="P16" s="36"/>
      <c r="Q16" s="36"/>
      <c r="R16" s="38"/>
      <c r="S16" s="38"/>
      <c r="T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6" t="s">
        <v>251</v>
      </c>
      <c r="AO16" s="36" t="s">
        <v>189</v>
      </c>
      <c r="AP16" s="36"/>
      <c r="AQ16" s="36" t="s">
        <v>252</v>
      </c>
      <c r="AR16" s="36"/>
      <c r="AS16" s="36" t="s">
        <v>150</v>
      </c>
      <c r="AT16" s="36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6" t="s">
        <v>166</v>
      </c>
      <c r="BK16" s="36" t="s">
        <v>253</v>
      </c>
      <c r="BL16" s="36" t="s">
        <v>254</v>
      </c>
      <c r="BM16" s="36" t="s">
        <v>255</v>
      </c>
      <c r="BN16" s="36"/>
      <c r="BO16" s="36"/>
      <c r="BP16" s="36"/>
      <c r="BQ16" s="36"/>
      <c r="BR16" s="36"/>
    </row>
    <row r="17" spans="1:70">
      <c r="A17" s="38"/>
      <c r="B17" s="38"/>
      <c r="C17" s="43"/>
      <c r="D17" s="38"/>
      <c r="E17" s="38"/>
      <c r="F17" s="43"/>
      <c r="G17" s="38"/>
      <c r="H17" s="38"/>
      <c r="I17" s="38"/>
      <c r="J17" s="38"/>
      <c r="K17" s="38"/>
      <c r="L17" s="38"/>
      <c r="M17" s="38"/>
      <c r="N17" s="38"/>
      <c r="O17" s="38"/>
      <c r="P17" s="36"/>
      <c r="Q17" s="36"/>
      <c r="R17" s="38"/>
      <c r="S17" s="38"/>
      <c r="T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6" t="s">
        <v>256</v>
      </c>
      <c r="AO17" s="36" t="s">
        <v>189</v>
      </c>
      <c r="AP17" s="36">
        <v>-3</v>
      </c>
      <c r="AQ17" s="36" t="s">
        <v>257</v>
      </c>
      <c r="AR17" s="36"/>
      <c r="AS17" s="36" t="s">
        <v>150</v>
      </c>
      <c r="AT17" s="36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6" t="s">
        <v>151</v>
      </c>
      <c r="BK17" s="36" t="s">
        <v>258</v>
      </c>
      <c r="BL17" s="36" t="s">
        <v>259</v>
      </c>
      <c r="BM17" s="36" t="s">
        <v>260</v>
      </c>
      <c r="BN17" s="36"/>
      <c r="BO17" s="36"/>
      <c r="BP17" s="36"/>
      <c r="BQ17" s="36"/>
      <c r="BR17" s="36"/>
    </row>
    <row r="18" spans="1:70">
      <c r="A18" s="38"/>
      <c r="B18" s="38"/>
      <c r="C18" s="43"/>
      <c r="D18" s="38"/>
      <c r="E18" s="38"/>
      <c r="F18" s="43"/>
      <c r="G18" s="38"/>
      <c r="H18" s="38"/>
      <c r="I18" s="38"/>
      <c r="J18" s="38"/>
      <c r="K18" s="38"/>
      <c r="L18" s="38"/>
      <c r="M18" s="38"/>
      <c r="N18" s="38"/>
      <c r="O18" s="38"/>
      <c r="P18" s="36"/>
      <c r="Q18" s="36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6" t="s">
        <v>261</v>
      </c>
      <c r="AO18" s="36" t="s">
        <v>189</v>
      </c>
      <c r="AP18" s="36"/>
      <c r="AQ18" s="36" t="s">
        <v>262</v>
      </c>
      <c r="AR18" s="36"/>
      <c r="AS18" s="36" t="s">
        <v>150</v>
      </c>
      <c r="AT18" s="36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6" t="s">
        <v>218</v>
      </c>
      <c r="BK18" s="36" t="s">
        <v>263</v>
      </c>
      <c r="BL18" s="36" t="s">
        <v>264</v>
      </c>
      <c r="BM18" s="36" t="s">
        <v>265</v>
      </c>
      <c r="BN18" s="36"/>
      <c r="BO18" s="36"/>
      <c r="BP18" s="36"/>
      <c r="BQ18" s="36"/>
      <c r="BR18" s="36"/>
    </row>
    <row r="19" spans="1:70">
      <c r="A19" s="38"/>
      <c r="B19" s="38"/>
      <c r="C19" s="43"/>
      <c r="D19" s="38"/>
      <c r="E19" s="38"/>
      <c r="F19" s="43"/>
      <c r="G19" s="38"/>
      <c r="H19" s="38"/>
      <c r="I19" s="38"/>
      <c r="J19" s="38"/>
      <c r="K19" s="38"/>
      <c r="L19" s="38"/>
      <c r="M19" s="38"/>
      <c r="N19" s="38"/>
      <c r="O19" s="38"/>
      <c r="P19" s="36"/>
      <c r="Q19" s="36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6" t="s">
        <v>266</v>
      </c>
      <c r="AO19" s="36" t="s">
        <v>189</v>
      </c>
      <c r="AP19" s="36"/>
      <c r="AQ19" s="36" t="s">
        <v>267</v>
      </c>
      <c r="AR19" s="36"/>
      <c r="AS19" s="36" t="s">
        <v>150</v>
      </c>
      <c r="AT19" s="36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6" t="s">
        <v>228</v>
      </c>
      <c r="BK19" s="36" t="s">
        <v>268</v>
      </c>
      <c r="BL19" s="36" t="s">
        <v>269</v>
      </c>
      <c r="BM19" s="36" t="s">
        <v>270</v>
      </c>
      <c r="BN19" s="36"/>
      <c r="BO19" s="36"/>
      <c r="BP19" s="36"/>
      <c r="BQ19" s="36"/>
      <c r="BR19" s="36"/>
    </row>
    <row r="20" spans="1:70">
      <c r="A20" s="36"/>
      <c r="B20" s="36"/>
      <c r="C20" s="37"/>
      <c r="D20" s="37"/>
      <c r="E20" s="36"/>
      <c r="F20" s="37"/>
      <c r="G20" s="36"/>
      <c r="H20" s="36"/>
      <c r="I20" s="36"/>
      <c r="J20" s="36"/>
      <c r="K20" s="36"/>
      <c r="L20" s="36"/>
      <c r="M20" s="36"/>
      <c r="N20" s="37"/>
      <c r="O20" s="36"/>
      <c r="P20" s="37"/>
      <c r="Q20" s="37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6" t="s">
        <v>271</v>
      </c>
      <c r="AO20" s="36" t="s">
        <v>189</v>
      </c>
      <c r="AP20" s="36"/>
      <c r="AQ20" s="36" t="s">
        <v>272</v>
      </c>
      <c r="AR20" s="36"/>
      <c r="AS20" s="36" t="s">
        <v>150</v>
      </c>
      <c r="AT20" s="36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6" t="s">
        <v>108</v>
      </c>
      <c r="BK20" s="36" t="s">
        <v>245</v>
      </c>
      <c r="BL20" s="36" t="s">
        <v>273</v>
      </c>
      <c r="BM20" s="36" t="s">
        <v>274</v>
      </c>
      <c r="BN20" s="36"/>
      <c r="BO20" s="36"/>
      <c r="BP20" s="36"/>
      <c r="BQ20" s="36"/>
      <c r="BR20" s="36"/>
    </row>
    <row r="21" spans="1:70">
      <c r="A21" s="36"/>
      <c r="B21" s="36"/>
      <c r="C21" s="37"/>
      <c r="D21" s="37"/>
      <c r="E21" s="36"/>
      <c r="F21" s="37"/>
      <c r="G21" s="36"/>
      <c r="H21" s="36"/>
      <c r="I21" s="36"/>
      <c r="J21" s="36"/>
      <c r="K21" s="36"/>
      <c r="L21" s="36"/>
      <c r="M21" s="36"/>
      <c r="N21" s="37"/>
      <c r="O21" s="36"/>
      <c r="P21" s="37"/>
      <c r="Q21" s="37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6" t="s">
        <v>275</v>
      </c>
      <c r="AO21" s="36" t="s">
        <v>189</v>
      </c>
      <c r="AP21" s="36"/>
      <c r="AQ21" s="36" t="s">
        <v>276</v>
      </c>
      <c r="AR21" s="36"/>
      <c r="AS21" s="36" t="s">
        <v>150</v>
      </c>
      <c r="AT21" s="36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6" t="s">
        <v>141</v>
      </c>
      <c r="BK21" s="36" t="s">
        <v>248</v>
      </c>
      <c r="BL21" s="36" t="s">
        <v>249</v>
      </c>
      <c r="BM21" s="36" t="s">
        <v>277</v>
      </c>
      <c r="BN21" s="36"/>
      <c r="BO21" s="36"/>
      <c r="BP21" s="36"/>
      <c r="BQ21" s="36"/>
      <c r="BR21" s="36"/>
    </row>
    <row r="22" spans="1:70">
      <c r="A22" s="36"/>
      <c r="B22" s="36"/>
      <c r="C22" s="37"/>
      <c r="D22" s="37"/>
      <c r="E22" s="36"/>
      <c r="F22" s="43"/>
      <c r="G22" s="36"/>
      <c r="H22" s="36"/>
      <c r="I22" s="36"/>
      <c r="J22" s="36"/>
      <c r="K22" s="36"/>
      <c r="L22" s="36"/>
      <c r="M22" s="36"/>
      <c r="N22" s="43"/>
      <c r="O22" s="36"/>
      <c r="P22" s="43"/>
      <c r="Q22" s="43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6" t="s">
        <v>278</v>
      </c>
      <c r="AO22" s="36" t="s">
        <v>189</v>
      </c>
      <c r="AP22" s="36"/>
      <c r="AQ22" s="36" t="s">
        <v>181</v>
      </c>
      <c r="AR22" s="36"/>
      <c r="AS22" s="36" t="s">
        <v>150</v>
      </c>
      <c r="AT22" s="36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6" t="s">
        <v>176</v>
      </c>
      <c r="BK22" s="36" t="s">
        <v>279</v>
      </c>
      <c r="BL22" s="36" t="s">
        <v>280</v>
      </c>
      <c r="BM22" s="36" t="s">
        <v>281</v>
      </c>
      <c r="BN22" s="36"/>
      <c r="BO22" s="36"/>
      <c r="BP22" s="36"/>
      <c r="BQ22" s="36"/>
      <c r="BR22" s="36"/>
    </row>
    <row r="23" spans="1:70">
      <c r="A23" s="36"/>
      <c r="B23" s="36"/>
      <c r="C23" s="43"/>
      <c r="D23" s="43"/>
      <c r="E23" s="36"/>
      <c r="F23" s="43"/>
      <c r="G23" s="36"/>
      <c r="H23" s="36"/>
      <c r="I23" s="36"/>
      <c r="J23" s="36"/>
      <c r="K23" s="36"/>
      <c r="L23" s="36"/>
      <c r="M23" s="36"/>
      <c r="N23" s="43"/>
      <c r="O23" s="36"/>
      <c r="P23" s="43"/>
      <c r="Q23" s="43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6" t="s">
        <v>282</v>
      </c>
      <c r="AO23" s="36" t="s">
        <v>283</v>
      </c>
      <c r="AP23" s="36"/>
      <c r="AQ23" s="39" t="s">
        <v>113</v>
      </c>
      <c r="AR23" s="36"/>
      <c r="AS23" s="36" t="s">
        <v>284</v>
      </c>
      <c r="AT23" s="36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6" t="s">
        <v>205</v>
      </c>
      <c r="BK23" s="36" t="s">
        <v>285</v>
      </c>
      <c r="BL23" s="36" t="s">
        <v>286</v>
      </c>
      <c r="BM23" s="39" t="s">
        <v>287</v>
      </c>
      <c r="BN23" s="36"/>
      <c r="BO23" s="36"/>
      <c r="BP23" s="36"/>
      <c r="BQ23" s="36"/>
      <c r="BR23" s="36"/>
    </row>
    <row r="24" spans="1:70">
      <c r="A24" s="36"/>
      <c r="B24" s="36"/>
      <c r="C24" s="37"/>
      <c r="D24" s="37"/>
      <c r="E24" s="36"/>
      <c r="F24" s="37"/>
      <c r="G24" s="36"/>
      <c r="H24" s="36"/>
      <c r="I24" s="36"/>
      <c r="J24" s="36"/>
      <c r="K24" s="36"/>
      <c r="L24" s="36"/>
      <c r="M24" s="36"/>
      <c r="N24" s="37"/>
      <c r="O24" s="36"/>
      <c r="P24" s="37"/>
      <c r="Q24" s="37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6" t="s">
        <v>5</v>
      </c>
      <c r="AO24" s="36" t="s">
        <v>283</v>
      </c>
      <c r="AP24" s="36"/>
      <c r="AQ24" s="39" t="s">
        <v>113</v>
      </c>
      <c r="AR24" s="36"/>
      <c r="AS24" s="36" t="s">
        <v>13</v>
      </c>
      <c r="AT24" s="36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6" t="s">
        <v>219</v>
      </c>
      <c r="BK24" s="36" t="s">
        <v>288</v>
      </c>
      <c r="BL24" s="36" t="s">
        <v>289</v>
      </c>
      <c r="BM24" s="36" t="s">
        <v>290</v>
      </c>
      <c r="BN24" s="36"/>
      <c r="BO24" s="36"/>
      <c r="BP24" s="36"/>
      <c r="BQ24" s="36"/>
      <c r="BR24" s="36"/>
    </row>
    <row r="25" spans="1:70">
      <c r="A25" s="36"/>
      <c r="B25" s="36"/>
      <c r="C25" s="43"/>
      <c r="D25" s="43"/>
      <c r="E25" s="36"/>
      <c r="F25" s="43"/>
      <c r="G25" s="36"/>
      <c r="H25" s="36"/>
      <c r="I25" s="36"/>
      <c r="J25" s="36"/>
      <c r="K25" s="36"/>
      <c r="L25" s="36"/>
      <c r="M25" s="36"/>
      <c r="N25" s="43"/>
      <c r="O25" s="36"/>
      <c r="P25" s="43"/>
      <c r="Q25" s="43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6" t="s">
        <v>291</v>
      </c>
      <c r="AO25" s="36" t="s">
        <v>283</v>
      </c>
      <c r="AP25" s="36"/>
      <c r="AQ25" s="39" t="s">
        <v>113</v>
      </c>
      <c r="AR25" s="36"/>
      <c r="AS25" s="36" t="s">
        <v>116</v>
      </c>
      <c r="AT25" s="36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6" t="s">
        <v>229</v>
      </c>
      <c r="BK25" s="36" t="s">
        <v>292</v>
      </c>
      <c r="BL25" s="36" t="s">
        <v>293</v>
      </c>
      <c r="BM25" s="36" t="s">
        <v>294</v>
      </c>
      <c r="BN25" s="36"/>
      <c r="BO25" s="36"/>
      <c r="BP25" s="36"/>
      <c r="BQ25" s="36"/>
      <c r="BR25" s="36"/>
    </row>
    <row r="26" spans="1:70">
      <c r="A26" s="36"/>
      <c r="B26" s="36"/>
      <c r="C26" s="43"/>
      <c r="D26" s="43"/>
      <c r="E26" s="36"/>
      <c r="F26" s="43"/>
      <c r="G26" s="36"/>
      <c r="H26" s="36"/>
      <c r="I26" s="36"/>
      <c r="J26" s="36"/>
      <c r="K26" s="36"/>
      <c r="L26" s="36"/>
      <c r="M26" s="36"/>
      <c r="N26" s="43"/>
      <c r="O26" s="36"/>
      <c r="P26" s="43"/>
      <c r="Q26" s="43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6" t="s">
        <v>295</v>
      </c>
      <c r="AO26" s="36" t="s">
        <v>283</v>
      </c>
      <c r="AP26" s="36"/>
      <c r="AQ26" s="36" t="s">
        <v>200</v>
      </c>
      <c r="AR26" s="36"/>
      <c r="AS26" s="36" t="s">
        <v>201</v>
      </c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</row>
    <row r="27" spans="1:70">
      <c r="A27" s="36"/>
      <c r="B27" s="36"/>
      <c r="C27" s="43"/>
      <c r="D27" s="43"/>
      <c r="E27" s="36"/>
      <c r="F27" s="43"/>
      <c r="G27" s="36"/>
      <c r="H27" s="36"/>
      <c r="I27" s="36"/>
      <c r="J27" s="36"/>
      <c r="K27" s="36"/>
      <c r="L27" s="36"/>
      <c r="M27" s="36"/>
      <c r="N27" s="43"/>
      <c r="O27" s="36"/>
      <c r="P27" s="43"/>
      <c r="Q27" s="43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</row>
    <row r="28" spans="1:70">
      <c r="A28" s="36"/>
      <c r="B28" s="36"/>
      <c r="C28" s="43"/>
      <c r="D28" s="43"/>
      <c r="E28" s="36"/>
      <c r="F28" s="43"/>
      <c r="G28" s="36"/>
      <c r="H28" s="36"/>
      <c r="I28" s="36"/>
      <c r="J28" s="36"/>
      <c r="K28" s="36"/>
      <c r="L28" s="36"/>
      <c r="M28" s="36"/>
      <c r="N28" s="43"/>
      <c r="O28" s="36"/>
      <c r="P28" s="43"/>
      <c r="Q28" s="43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</row>
    <row r="29" spans="1:70">
      <c r="A29" s="36"/>
      <c r="B29" s="36"/>
      <c r="C29" s="43"/>
      <c r="D29" s="43"/>
      <c r="E29" s="36"/>
      <c r="F29" s="43"/>
      <c r="G29" s="36"/>
      <c r="H29" s="36"/>
      <c r="I29" s="36"/>
      <c r="J29" s="36"/>
      <c r="K29" s="36"/>
      <c r="L29" s="36"/>
      <c r="M29" s="36"/>
      <c r="N29" s="43"/>
      <c r="O29" s="36"/>
      <c r="P29" s="43"/>
      <c r="Q29" s="43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</row>
    <row r="30" spans="1:70">
      <c r="A30" s="36"/>
      <c r="B30" s="38"/>
      <c r="C30" s="43"/>
      <c r="D30" s="43"/>
      <c r="E30" s="36"/>
      <c r="F30" s="43"/>
      <c r="G30" s="36"/>
      <c r="H30" s="36"/>
      <c r="I30" s="36"/>
      <c r="J30" s="36"/>
      <c r="K30" s="36"/>
      <c r="L30" s="36"/>
      <c r="M30" s="36"/>
      <c r="N30" s="43"/>
      <c r="O30" s="36"/>
      <c r="P30" s="43"/>
      <c r="Q30" s="43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6"/>
      <c r="AQ30" s="36"/>
      <c r="AR30" s="36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</row>
    <row r="31" spans="1:70">
      <c r="A31" s="36"/>
      <c r="B31" s="38"/>
      <c r="C31" s="43"/>
      <c r="D31" s="43"/>
      <c r="E31" s="36"/>
      <c r="F31" s="43"/>
      <c r="G31" s="38"/>
      <c r="H31" s="38"/>
      <c r="I31" s="38"/>
      <c r="J31" s="38"/>
      <c r="K31" s="38"/>
      <c r="L31" s="38"/>
      <c r="M31" s="38"/>
      <c r="N31" s="43"/>
      <c r="O31" s="38"/>
      <c r="P31" s="43"/>
      <c r="Q31" s="43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</row>
    <row r="32" spans="1:70">
      <c r="A32" s="38"/>
      <c r="B32" s="38"/>
      <c r="C32" s="43"/>
      <c r="D32" s="38"/>
      <c r="E32" s="38"/>
      <c r="F32" s="43"/>
      <c r="G32" s="38"/>
      <c r="H32" s="38"/>
      <c r="I32" s="38"/>
      <c r="J32" s="38"/>
      <c r="K32" s="38"/>
      <c r="L32" s="38"/>
      <c r="M32" s="38"/>
      <c r="N32" s="38"/>
      <c r="O32" s="38"/>
      <c r="P32" s="36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</row>
    <row r="33" spans="1:70">
      <c r="A33" s="38"/>
      <c r="B33" s="36"/>
      <c r="C33" s="43"/>
      <c r="D33" s="38"/>
      <c r="E33" s="36"/>
      <c r="F33" s="43"/>
      <c r="G33" s="38"/>
      <c r="H33" s="38"/>
      <c r="I33" s="38"/>
      <c r="J33" s="38"/>
      <c r="K33" s="38"/>
      <c r="L33" s="38"/>
      <c r="M33" s="38"/>
      <c r="N33" s="38"/>
      <c r="O33" s="38"/>
      <c r="P33" s="36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</row>
    <row r="34" spans="1:70">
      <c r="A34" s="38"/>
      <c r="B34" s="38"/>
      <c r="C34" s="43"/>
      <c r="D34" s="38"/>
      <c r="E34" s="38"/>
      <c r="F34" s="43"/>
      <c r="G34" s="38"/>
      <c r="H34" s="38"/>
      <c r="I34" s="38"/>
      <c r="J34" s="38"/>
      <c r="K34" s="38"/>
      <c r="L34" s="38"/>
      <c r="M34" s="38"/>
      <c r="N34" s="38"/>
      <c r="O34" s="38"/>
      <c r="P34" s="36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</row>
    <row r="35" spans="1:70">
      <c r="A35" s="38"/>
      <c r="B35" s="38"/>
      <c r="C35" s="43"/>
      <c r="D35" s="38"/>
      <c r="E35" s="38"/>
      <c r="F35" s="43"/>
      <c r="G35" s="38"/>
      <c r="H35" s="38"/>
      <c r="I35" s="38"/>
      <c r="J35" s="38"/>
      <c r="K35" s="38"/>
      <c r="L35" s="38"/>
      <c r="M35" s="38"/>
      <c r="N35" s="38"/>
      <c r="O35" s="38"/>
      <c r="P35" s="36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</row>
    <row r="36" spans="1:70">
      <c r="A36" s="38"/>
      <c r="B36" s="38"/>
      <c r="C36" s="43"/>
      <c r="D36" s="38"/>
      <c r="E36" s="38"/>
      <c r="F36" s="43"/>
      <c r="G36" s="38"/>
      <c r="H36" s="38"/>
      <c r="I36" s="38"/>
      <c r="J36" s="38"/>
      <c r="K36" s="38"/>
      <c r="L36" s="38"/>
      <c r="M36" s="38"/>
      <c r="N36" s="38"/>
      <c r="O36" s="38"/>
      <c r="P36" s="36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</row>
    <row r="37" spans="1:70">
      <c r="A37" s="38"/>
      <c r="B37" s="38"/>
      <c r="C37" s="43"/>
      <c r="D37" s="38"/>
      <c r="E37" s="38"/>
      <c r="F37" s="43"/>
      <c r="G37" s="38"/>
      <c r="H37" s="38"/>
      <c r="I37" s="38"/>
      <c r="J37" s="38"/>
      <c r="K37" s="38"/>
      <c r="L37" s="38"/>
      <c r="M37" s="38"/>
      <c r="N37" s="38"/>
      <c r="O37" s="38"/>
      <c r="P37" s="36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</row>
    <row r="38" spans="1:70">
      <c r="A38" s="38"/>
      <c r="B38" s="38"/>
      <c r="C38" s="43"/>
      <c r="D38" s="38"/>
      <c r="E38" s="38"/>
      <c r="F38" s="43"/>
      <c r="G38" s="38"/>
      <c r="H38" s="38"/>
      <c r="I38" s="38"/>
      <c r="J38" s="38"/>
      <c r="K38" s="38"/>
      <c r="L38" s="38"/>
      <c r="M38" s="38"/>
      <c r="N38" s="38"/>
      <c r="O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</row>
    <row r="39" spans="1:70">
      <c r="A39" s="38"/>
      <c r="B39" s="38"/>
      <c r="C39" s="43"/>
      <c r="D39" s="38"/>
      <c r="E39" s="38"/>
      <c r="F39" s="43"/>
      <c r="G39" s="38"/>
      <c r="H39" s="38"/>
      <c r="I39" s="38"/>
      <c r="J39" s="38"/>
      <c r="K39" s="38"/>
      <c r="L39" s="38"/>
      <c r="M39" s="38"/>
      <c r="N39" s="38"/>
      <c r="O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</row>
    <row r="40" spans="1:70">
      <c r="A40" s="38"/>
      <c r="B40" s="38"/>
      <c r="C40" s="43"/>
      <c r="D40" s="38"/>
      <c r="E40" s="38"/>
      <c r="F40" s="43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</row>
    <row r="41" spans="1:70">
      <c r="A41" s="38"/>
      <c r="B41" s="38"/>
      <c r="C41" s="43"/>
      <c r="D41" s="38"/>
      <c r="E41" s="38"/>
      <c r="F41" s="43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</row>
    <row r="42" spans="1:70">
      <c r="A42" s="38"/>
      <c r="B42" s="38"/>
      <c r="C42" s="43"/>
      <c r="D42" s="38"/>
      <c r="E42" s="38"/>
      <c r="F42" s="43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</row>
    <row r="43" spans="1:70">
      <c r="A43" s="38"/>
      <c r="B43" s="38"/>
      <c r="C43" s="43"/>
      <c r="D43" s="38"/>
      <c r="E43" s="38"/>
      <c r="F43" s="43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</row>
    <row r="44" spans="1:70">
      <c r="A44" s="38"/>
      <c r="B44" s="38"/>
      <c r="C44" s="43"/>
      <c r="D44" s="38"/>
      <c r="E44" s="38"/>
      <c r="F44" s="43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</row>
    <row r="45" spans="1:70">
      <c r="A45" s="38"/>
      <c r="B45" s="38"/>
      <c r="C45" s="43"/>
      <c r="D45" s="38"/>
      <c r="E45" s="38"/>
      <c r="F45" s="43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</row>
    <row r="46" spans="1:70">
      <c r="A46" s="38"/>
      <c r="B46" s="38"/>
      <c r="C46" s="43"/>
      <c r="D46" s="38"/>
      <c r="E46" s="38"/>
      <c r="F46" s="43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</row>
    <row r="47" spans="1:70">
      <c r="A47" s="38"/>
      <c r="B47" s="38"/>
      <c r="C47" s="43"/>
      <c r="D47" s="38"/>
      <c r="E47" s="38"/>
      <c r="F47" s="43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</row>
    <row r="48" spans="1:70">
      <c r="A48" s="38"/>
      <c r="B48" s="38"/>
      <c r="C48" s="43"/>
      <c r="D48" s="38"/>
      <c r="E48" s="38"/>
      <c r="F48" s="43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</row>
    <row r="49" spans="1:70">
      <c r="A49" s="38"/>
      <c r="B49" s="38"/>
      <c r="C49" s="43"/>
      <c r="D49" s="38"/>
      <c r="E49" s="38"/>
      <c r="F49" s="43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</row>
    <row r="50" spans="1:70">
      <c r="A50" s="38"/>
      <c r="B50" s="38"/>
      <c r="C50" s="43"/>
      <c r="D50" s="38"/>
      <c r="E50" s="38"/>
      <c r="F50" s="43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</row>
    <row r="51" spans="1:70">
      <c r="A51" s="38"/>
      <c r="B51" s="38"/>
      <c r="C51" s="43"/>
      <c r="D51" s="38"/>
      <c r="E51" s="38"/>
      <c r="F51" s="43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</row>
    <row r="52" spans="1:70">
      <c r="A52" s="38"/>
      <c r="B52" s="38"/>
      <c r="C52" s="43"/>
      <c r="D52" s="38"/>
      <c r="E52" s="38"/>
      <c r="F52" s="43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</row>
    <row r="53" spans="1:70">
      <c r="A53" s="38"/>
      <c r="B53" s="38"/>
      <c r="C53" s="43"/>
      <c r="D53" s="38"/>
      <c r="E53" s="38"/>
      <c r="F53" s="43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</row>
    <row r="54" spans="1:70">
      <c r="A54" s="38"/>
      <c r="B54" s="38"/>
      <c r="C54" s="43"/>
      <c r="D54" s="38"/>
      <c r="E54" s="38"/>
      <c r="F54" s="43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</row>
    <row r="55" spans="1:70">
      <c r="A55" s="38"/>
      <c r="B55" s="38"/>
      <c r="C55" s="43"/>
      <c r="D55" s="38"/>
      <c r="E55" s="38"/>
      <c r="F55" s="43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</row>
    <row r="56" spans="1:70">
      <c r="A56" s="38"/>
      <c r="B56" s="38"/>
      <c r="C56" s="43"/>
      <c r="D56" s="38"/>
      <c r="E56" s="38"/>
      <c r="F56" s="43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</row>
    <row r="57" spans="1:70">
      <c r="A57" s="38"/>
      <c r="B57" s="38"/>
      <c r="C57" s="43"/>
      <c r="D57" s="38"/>
      <c r="E57" s="38"/>
      <c r="F57" s="43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</row>
    <row r="58" spans="1:70">
      <c r="A58" s="38"/>
      <c r="B58" s="38"/>
      <c r="C58" s="43"/>
      <c r="D58" s="38"/>
      <c r="E58" s="38"/>
      <c r="F58" s="43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</row>
    <row r="59" spans="1:70">
      <c r="A59" s="38"/>
      <c r="B59" s="38"/>
      <c r="C59" s="43"/>
      <c r="D59" s="38"/>
      <c r="E59" s="38"/>
      <c r="F59" s="43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</row>
    <row r="60" spans="1:70">
      <c r="A60" s="38"/>
      <c r="B60" s="38"/>
      <c r="C60" s="43"/>
      <c r="D60" s="38"/>
      <c r="E60" s="38"/>
      <c r="F60" s="43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</row>
    <row r="61" spans="1:70">
      <c r="A61" s="38"/>
      <c r="B61" s="38"/>
      <c r="C61" s="43"/>
      <c r="D61" s="38"/>
      <c r="E61" s="38"/>
      <c r="F61" s="43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</row>
    <row r="62" spans="1:70">
      <c r="A62" s="38"/>
      <c r="B62" s="38"/>
      <c r="C62" s="43"/>
      <c r="D62" s="38"/>
      <c r="E62" s="38"/>
      <c r="F62" s="43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</row>
    <row r="63" spans="1:70">
      <c r="A63" s="38"/>
      <c r="B63" s="38"/>
      <c r="C63" s="43"/>
      <c r="D63" s="38"/>
      <c r="E63" s="38"/>
      <c r="F63" s="43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</row>
    <row r="64" spans="1:70">
      <c r="A64" s="38"/>
      <c r="B64" s="38"/>
      <c r="C64" s="43"/>
      <c r="D64" s="38"/>
      <c r="E64" s="38"/>
      <c r="F64" s="43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</row>
    <row r="65" spans="1:70">
      <c r="A65" s="38"/>
      <c r="B65" s="38"/>
      <c r="C65" s="43"/>
      <c r="D65" s="38"/>
      <c r="E65" s="38"/>
      <c r="F65" s="43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</row>
    <row r="66" spans="1:70">
      <c r="A66" s="38"/>
      <c r="B66" s="38"/>
      <c r="C66" s="43"/>
      <c r="D66" s="38"/>
      <c r="E66" s="38"/>
      <c r="F66" s="43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</row>
    <row r="67" spans="1:70">
      <c r="A67" s="38"/>
      <c r="B67" s="38"/>
      <c r="C67" s="43"/>
      <c r="D67" s="38"/>
      <c r="E67" s="38"/>
      <c r="F67" s="43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</row>
    <row r="68" spans="1:70">
      <c r="A68" s="38"/>
      <c r="B68" s="38"/>
      <c r="C68" s="43"/>
      <c r="D68" s="38"/>
      <c r="E68" s="38"/>
      <c r="F68" s="43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</row>
    <row r="69" spans="1:70">
      <c r="A69" s="38"/>
      <c r="B69" s="38"/>
      <c r="C69" s="43"/>
      <c r="D69" s="38"/>
      <c r="E69" s="38"/>
      <c r="F69" s="43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</row>
    <row r="70" spans="1:70">
      <c r="A70" s="38"/>
      <c r="B70" s="38"/>
      <c r="C70" s="43"/>
      <c r="D70" s="38"/>
      <c r="E70" s="38"/>
      <c r="F70" s="43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</row>
    <row r="71" spans="1:70">
      <c r="A71" s="38"/>
      <c r="B71" s="38"/>
      <c r="C71" s="43"/>
      <c r="D71" s="38"/>
      <c r="E71" s="38"/>
      <c r="F71" s="43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</row>
    <row r="72" spans="1:70">
      <c r="A72" s="38"/>
      <c r="B72" s="38"/>
      <c r="C72" s="43"/>
      <c r="D72" s="38"/>
      <c r="E72" s="38"/>
      <c r="F72" s="43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</row>
    <row r="73" spans="1:70">
      <c r="A73" s="38"/>
      <c r="B73" s="38"/>
      <c r="C73" s="43"/>
      <c r="D73" s="38"/>
      <c r="E73" s="38"/>
      <c r="F73" s="43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</row>
    <row r="74" spans="1:70">
      <c r="A74" s="38"/>
      <c r="B74" s="38"/>
      <c r="C74" s="43"/>
      <c r="D74" s="38"/>
      <c r="E74" s="38"/>
      <c r="F74" s="43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</row>
    <row r="75" spans="1:70">
      <c r="A75" s="38"/>
      <c r="B75" s="38"/>
      <c r="C75" s="43"/>
      <c r="D75" s="38"/>
      <c r="E75" s="38"/>
      <c r="F75" s="43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</row>
    <row r="76" spans="1:70">
      <c r="A76" s="38"/>
      <c r="B76" s="38"/>
      <c r="C76" s="43"/>
      <c r="D76" s="38"/>
      <c r="E76" s="38"/>
      <c r="F76" s="43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</row>
    <row r="77" spans="1:70">
      <c r="A77" s="38"/>
      <c r="B77" s="38"/>
      <c r="C77" s="43"/>
      <c r="D77" s="38"/>
      <c r="E77" s="38"/>
      <c r="F77" s="43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</row>
    <row r="78" spans="1:70">
      <c r="A78" s="38"/>
      <c r="B78" s="38"/>
      <c r="C78" s="43"/>
      <c r="D78" s="38"/>
      <c r="E78" s="38"/>
      <c r="F78" s="43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</row>
    <row r="79" spans="1:70">
      <c r="A79" s="38"/>
      <c r="B79" s="38"/>
      <c r="C79" s="43"/>
      <c r="D79" s="38"/>
      <c r="E79" s="38"/>
      <c r="F79" s="43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</row>
    <row r="80" spans="1:70">
      <c r="A80" s="38"/>
      <c r="B80" s="38"/>
      <c r="C80" s="43"/>
      <c r="D80" s="38"/>
      <c r="E80" s="38"/>
      <c r="F80" s="43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</row>
    <row r="81" spans="1:70">
      <c r="A81" s="38"/>
      <c r="B81" s="38"/>
      <c r="C81" s="43"/>
      <c r="D81" s="38"/>
      <c r="E81" s="38"/>
      <c r="F81" s="43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</row>
    <row r="82" spans="1:70">
      <c r="A82" s="38"/>
      <c r="B82" s="38"/>
      <c r="C82" s="43"/>
      <c r="D82" s="38"/>
      <c r="E82" s="38"/>
      <c r="F82" s="43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</row>
    <row r="83" spans="1:70">
      <c r="A83" s="38"/>
      <c r="B83" s="38"/>
      <c r="C83" s="43"/>
      <c r="D83" s="38"/>
      <c r="E83" s="38"/>
      <c r="F83" s="43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</row>
    <row r="84" spans="1:70">
      <c r="A84" s="38"/>
      <c r="B84" s="38"/>
      <c r="C84" s="43"/>
      <c r="D84" s="38"/>
      <c r="E84" s="38"/>
      <c r="F84" s="43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</row>
    <row r="85" spans="1:70">
      <c r="A85" s="38"/>
      <c r="B85" s="38"/>
      <c r="C85" s="43"/>
      <c r="D85" s="38"/>
      <c r="E85" s="38"/>
      <c r="F85" s="43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</row>
    <row r="86" spans="1:70">
      <c r="A86" s="38"/>
      <c r="B86" s="38"/>
      <c r="C86" s="43"/>
      <c r="D86" s="38"/>
      <c r="E86" s="38"/>
      <c r="F86" s="43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</row>
    <row r="87" spans="1:70">
      <c r="A87" s="38"/>
      <c r="B87" s="38"/>
      <c r="C87" s="43"/>
      <c r="D87" s="38"/>
      <c r="E87" s="38"/>
      <c r="F87" s="43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</row>
    <row r="88" spans="1:70">
      <c r="A88" s="38"/>
      <c r="B88" s="38"/>
      <c r="C88" s="43"/>
      <c r="D88" s="38"/>
      <c r="E88" s="38"/>
      <c r="F88" s="43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</row>
    <row r="89" spans="1:70">
      <c r="A89" s="38"/>
      <c r="B89" s="38"/>
      <c r="C89" s="43"/>
      <c r="D89" s="38"/>
      <c r="E89" s="38"/>
      <c r="F89" s="43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</row>
    <row r="90" spans="1:70">
      <c r="A90" s="38"/>
      <c r="B90" s="38"/>
      <c r="C90" s="43"/>
      <c r="D90" s="38"/>
      <c r="E90" s="38"/>
      <c r="F90" s="43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</row>
    <row r="91" spans="1:70">
      <c r="A91" s="38"/>
      <c r="B91" s="38"/>
      <c r="C91" s="43"/>
      <c r="D91" s="38"/>
      <c r="E91" s="38"/>
      <c r="F91" s="43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</row>
    <row r="92" spans="1:70">
      <c r="A92" s="38"/>
      <c r="B92" s="38"/>
      <c r="C92" s="43"/>
      <c r="D92" s="38"/>
      <c r="E92" s="38"/>
      <c r="F92" s="43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</row>
    <row r="93" spans="1:70">
      <c r="A93" s="38"/>
      <c r="B93" s="38"/>
      <c r="C93" s="43"/>
      <c r="D93" s="38"/>
      <c r="E93" s="38"/>
      <c r="F93" s="43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</row>
    <row r="94" spans="1:70">
      <c r="A94" s="38"/>
      <c r="B94" s="38"/>
      <c r="C94" s="43"/>
      <c r="D94" s="38"/>
      <c r="E94" s="38"/>
      <c r="F94" s="43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</row>
    <row r="95" spans="1:70">
      <c r="A95" s="38"/>
      <c r="B95" s="38"/>
      <c r="C95" s="43"/>
      <c r="D95" s="38"/>
      <c r="E95" s="38"/>
      <c r="F95" s="43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</row>
    <row r="96" spans="1:70">
      <c r="A96" s="38"/>
      <c r="B96" s="38"/>
      <c r="C96" s="43"/>
      <c r="D96" s="38"/>
      <c r="E96" s="38"/>
      <c r="F96" s="43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</row>
    <row r="97" spans="1:70">
      <c r="A97" s="38"/>
      <c r="B97" s="38"/>
      <c r="C97" s="43"/>
      <c r="D97" s="38"/>
      <c r="E97" s="38"/>
      <c r="F97" s="43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</row>
    <row r="98" spans="1:70">
      <c r="A98" s="38"/>
      <c r="B98" s="38"/>
      <c r="C98" s="43"/>
      <c r="D98" s="38"/>
      <c r="E98" s="38"/>
      <c r="F98" s="43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</row>
    <row r="99" spans="1:70">
      <c r="A99" s="38"/>
      <c r="B99" s="38"/>
      <c r="C99" s="43"/>
      <c r="D99" s="38"/>
      <c r="E99" s="38"/>
      <c r="F99" s="43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</row>
    <row r="100" spans="1:70">
      <c r="A100" s="38"/>
      <c r="B100" s="38"/>
      <c r="C100" s="43"/>
      <c r="D100" s="38"/>
      <c r="E100" s="38"/>
      <c r="F100" s="43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</row>
    <row r="101" spans="1:70">
      <c r="A101" s="38"/>
      <c r="B101" s="38"/>
      <c r="C101" s="43"/>
      <c r="D101" s="38"/>
      <c r="E101" s="38"/>
      <c r="F101" s="43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</row>
    <row r="102" spans="1:70">
      <c r="A102" s="38"/>
      <c r="B102" s="38"/>
      <c r="C102" s="43"/>
      <c r="D102" s="38"/>
      <c r="E102" s="38"/>
      <c r="F102" s="43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</row>
    <row r="103" spans="1:70">
      <c r="A103" s="38"/>
      <c r="B103" s="38"/>
      <c r="C103" s="43"/>
      <c r="D103" s="38"/>
      <c r="E103" s="38"/>
      <c r="F103" s="43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</row>
    <row r="104" spans="1:70">
      <c r="A104" s="38"/>
      <c r="B104" s="38"/>
      <c r="C104" s="43"/>
      <c r="D104" s="38"/>
      <c r="E104" s="38"/>
      <c r="F104" s="43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</row>
    <row r="105" spans="1:70">
      <c r="A105" s="38"/>
      <c r="B105" s="38"/>
      <c r="C105" s="43"/>
      <c r="D105" s="38"/>
      <c r="E105" s="38"/>
      <c r="F105" s="43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</row>
    <row r="106" spans="1:70">
      <c r="A106" s="38"/>
      <c r="B106" s="38"/>
      <c r="C106" s="43"/>
      <c r="D106" s="38"/>
      <c r="E106" s="38"/>
      <c r="F106" s="43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</row>
    <row r="107" spans="1:70">
      <c r="A107" s="38"/>
      <c r="B107" s="38"/>
      <c r="C107" s="43"/>
      <c r="D107" s="38"/>
      <c r="E107" s="38"/>
      <c r="F107" s="43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</row>
    <row r="108" spans="1:70">
      <c r="A108" s="38"/>
      <c r="B108" s="38"/>
      <c r="C108" s="43"/>
      <c r="D108" s="38"/>
      <c r="E108" s="38"/>
      <c r="F108" s="43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</row>
    <row r="109" spans="1:70">
      <c r="A109" s="38"/>
      <c r="B109" s="38"/>
      <c r="C109" s="43"/>
      <c r="D109" s="38"/>
      <c r="E109" s="38"/>
      <c r="F109" s="43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</row>
    <row r="110" spans="1:70">
      <c r="A110" s="38"/>
      <c r="B110" s="38"/>
      <c r="C110" s="43"/>
      <c r="D110" s="38"/>
      <c r="E110" s="38"/>
      <c r="F110" s="43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</row>
    <row r="111" spans="1:70">
      <c r="A111" s="38"/>
      <c r="B111" s="38"/>
      <c r="C111" s="43"/>
      <c r="D111" s="38"/>
      <c r="E111" s="38"/>
      <c r="F111" s="43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</row>
    <row r="112" spans="1:70">
      <c r="A112" s="38"/>
      <c r="B112" s="38"/>
      <c r="C112" s="43"/>
      <c r="D112" s="38"/>
      <c r="E112" s="38"/>
      <c r="F112" s="43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</row>
    <row r="113" spans="1:70">
      <c r="A113" s="38"/>
      <c r="B113" s="38"/>
      <c r="C113" s="43"/>
      <c r="D113" s="38"/>
      <c r="E113" s="38"/>
      <c r="F113" s="43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</row>
    <row r="114" spans="1:70">
      <c r="A114" s="38"/>
      <c r="B114" s="38"/>
      <c r="C114" s="43"/>
      <c r="D114" s="38"/>
      <c r="E114" s="38"/>
      <c r="F114" s="43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</row>
    <row r="115" spans="1:70">
      <c r="A115" s="38"/>
      <c r="B115" s="38"/>
      <c r="C115" s="43"/>
      <c r="D115" s="38"/>
      <c r="E115" s="38"/>
      <c r="F115" s="43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</row>
    <row r="116" spans="1:70">
      <c r="A116" s="38"/>
      <c r="B116" s="38"/>
      <c r="C116" s="43"/>
      <c r="D116" s="38"/>
      <c r="E116" s="38"/>
      <c r="F116" s="43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</row>
    <row r="117" spans="1:70">
      <c r="A117" s="38"/>
      <c r="B117" s="38"/>
      <c r="C117" s="43"/>
      <c r="D117" s="38"/>
      <c r="E117" s="38"/>
      <c r="F117" s="43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</row>
    <row r="118" spans="1:70">
      <c r="A118" s="38"/>
      <c r="B118" s="38"/>
      <c r="C118" s="43"/>
      <c r="D118" s="38"/>
      <c r="E118" s="38"/>
      <c r="F118" s="43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</row>
    <row r="119" spans="1:70">
      <c r="A119" s="38"/>
      <c r="B119" s="38"/>
      <c r="C119" s="43"/>
      <c r="D119" s="38"/>
      <c r="E119" s="38"/>
      <c r="F119" s="43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</row>
    <row r="120" spans="1:70">
      <c r="A120" s="38"/>
      <c r="B120" s="38"/>
      <c r="C120" s="43"/>
      <c r="D120" s="38"/>
      <c r="E120" s="38"/>
      <c r="F120" s="43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38"/>
      <c r="BI120" s="38"/>
      <c r="BJ120" s="38"/>
      <c r="BK120" s="38"/>
      <c r="BL120" s="38"/>
      <c r="BM120" s="38"/>
      <c r="BN120" s="38"/>
      <c r="BO120" s="38"/>
      <c r="BP120" s="38"/>
      <c r="BQ120" s="38"/>
      <c r="BR120" s="38"/>
    </row>
    <row r="121" spans="1:70">
      <c r="A121" s="38"/>
      <c r="B121" s="38"/>
      <c r="C121" s="43"/>
      <c r="D121" s="38"/>
      <c r="E121" s="38"/>
      <c r="F121" s="43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</row>
    <row r="122" spans="1:70">
      <c r="A122" s="38"/>
      <c r="B122" s="38"/>
      <c r="C122" s="43"/>
      <c r="D122" s="38"/>
      <c r="E122" s="38"/>
      <c r="F122" s="43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</row>
    <row r="123" spans="1:70">
      <c r="A123" s="38"/>
      <c r="B123" s="38"/>
      <c r="C123" s="43"/>
      <c r="D123" s="38"/>
      <c r="E123" s="38"/>
      <c r="F123" s="43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</row>
    <row r="124" spans="1:70">
      <c r="A124" s="38"/>
      <c r="B124" s="38"/>
      <c r="C124" s="43"/>
      <c r="D124" s="38"/>
      <c r="E124" s="38"/>
      <c r="F124" s="43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</row>
    <row r="125" spans="1:70">
      <c r="A125" s="38"/>
      <c r="B125" s="38"/>
      <c r="C125" s="43"/>
      <c r="D125" s="38"/>
      <c r="E125" s="38"/>
      <c r="F125" s="43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38"/>
      <c r="BI125" s="38"/>
      <c r="BJ125" s="38"/>
      <c r="BK125" s="38"/>
      <c r="BL125" s="38"/>
      <c r="BM125" s="38"/>
      <c r="BN125" s="38"/>
      <c r="BO125" s="38"/>
      <c r="BP125" s="38"/>
      <c r="BQ125" s="38"/>
      <c r="BR125" s="38"/>
    </row>
    <row r="126" spans="1:70">
      <c r="A126" s="38"/>
      <c r="B126" s="38"/>
      <c r="C126" s="43"/>
      <c r="D126" s="38"/>
      <c r="E126" s="38"/>
      <c r="F126" s="43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</row>
    <row r="127" spans="1:70">
      <c r="A127" s="38"/>
      <c r="B127" s="38"/>
      <c r="C127" s="43"/>
      <c r="D127" s="38"/>
      <c r="E127" s="38"/>
      <c r="F127" s="43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</row>
    <row r="128" spans="1:70">
      <c r="A128" s="38"/>
      <c r="B128" s="38"/>
      <c r="C128" s="43"/>
      <c r="D128" s="38"/>
      <c r="E128" s="38"/>
      <c r="F128" s="43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</row>
    <row r="129" spans="1:70">
      <c r="A129" s="38"/>
      <c r="B129" s="38"/>
      <c r="C129" s="43"/>
      <c r="D129" s="38"/>
      <c r="E129" s="38"/>
      <c r="F129" s="43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/>
      <c r="BR129" s="38"/>
    </row>
    <row r="130" spans="1:70">
      <c r="A130" s="38"/>
      <c r="B130" s="38"/>
      <c r="C130" s="43"/>
      <c r="D130" s="38"/>
      <c r="E130" s="38"/>
      <c r="F130" s="43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</row>
    <row r="131" spans="1:70">
      <c r="A131" s="38"/>
      <c r="B131" s="38"/>
      <c r="C131" s="43"/>
      <c r="D131" s="38"/>
      <c r="E131" s="38"/>
      <c r="F131" s="43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</row>
    <row r="132" spans="1:70">
      <c r="A132" s="38"/>
      <c r="B132" s="38"/>
      <c r="C132" s="43"/>
      <c r="D132" s="38"/>
      <c r="E132" s="38"/>
      <c r="F132" s="43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</row>
    <row r="133" spans="1:70">
      <c r="A133" s="38"/>
      <c r="B133" s="38"/>
      <c r="C133" s="43"/>
      <c r="D133" s="38"/>
      <c r="E133" s="38"/>
      <c r="F133" s="43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</row>
    <row r="134" spans="1:70">
      <c r="A134" s="38"/>
      <c r="B134" s="38"/>
      <c r="C134" s="43"/>
      <c r="D134" s="38"/>
      <c r="E134" s="38"/>
      <c r="F134" s="43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38"/>
      <c r="BI134" s="38"/>
      <c r="BJ134" s="38"/>
      <c r="BK134" s="38"/>
      <c r="BL134" s="38"/>
      <c r="BM134" s="38"/>
      <c r="BN134" s="38"/>
      <c r="BO134" s="38"/>
      <c r="BP134" s="38"/>
      <c r="BQ134" s="38"/>
      <c r="BR134" s="38"/>
    </row>
    <row r="135" spans="1:70">
      <c r="A135" s="38"/>
      <c r="B135" s="38"/>
      <c r="C135" s="43"/>
      <c r="D135" s="38"/>
      <c r="E135" s="38"/>
      <c r="F135" s="43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</row>
    <row r="136" spans="1:70">
      <c r="A136" s="38"/>
      <c r="B136" s="38"/>
      <c r="C136" s="43"/>
      <c r="D136" s="38"/>
      <c r="E136" s="38"/>
      <c r="F136" s="43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</row>
    <row r="137" spans="1:70">
      <c r="A137" s="38"/>
      <c r="B137" s="38"/>
      <c r="C137" s="43"/>
      <c r="D137" s="38"/>
      <c r="E137" s="38"/>
      <c r="F137" s="43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38"/>
      <c r="BI137" s="38"/>
      <c r="BJ137" s="38"/>
      <c r="BK137" s="38"/>
      <c r="BL137" s="38"/>
      <c r="BM137" s="38"/>
      <c r="BN137" s="38"/>
      <c r="BO137" s="38"/>
      <c r="BP137" s="38"/>
      <c r="BQ137" s="38"/>
      <c r="BR137" s="38"/>
    </row>
    <row r="138" spans="1:70">
      <c r="A138" s="38"/>
      <c r="B138" s="38"/>
      <c r="C138" s="43"/>
      <c r="D138" s="38"/>
      <c r="E138" s="38"/>
      <c r="F138" s="43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38"/>
      <c r="BI138" s="38"/>
      <c r="BJ138" s="38"/>
      <c r="BK138" s="38"/>
      <c r="BL138" s="38"/>
      <c r="BM138" s="38"/>
      <c r="BN138" s="38"/>
      <c r="BO138" s="38"/>
      <c r="BP138" s="38"/>
      <c r="BQ138" s="38"/>
      <c r="BR138" s="38"/>
    </row>
    <row r="139" spans="1:70">
      <c r="A139" s="38"/>
      <c r="B139" s="38"/>
      <c r="C139" s="43"/>
      <c r="D139" s="38"/>
      <c r="E139" s="38"/>
      <c r="F139" s="43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</row>
    <row r="140" spans="1:70">
      <c r="A140" s="38"/>
      <c r="B140" s="38"/>
      <c r="C140" s="43"/>
      <c r="D140" s="38"/>
      <c r="E140" s="38"/>
      <c r="F140" s="43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</row>
    <row r="141" spans="1:70">
      <c r="A141" s="38"/>
      <c r="B141" s="38"/>
      <c r="C141" s="43"/>
      <c r="D141" s="38"/>
      <c r="E141" s="38"/>
      <c r="F141" s="43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38"/>
      <c r="BI141" s="38"/>
      <c r="BJ141" s="38"/>
      <c r="BK141" s="38"/>
      <c r="BL141" s="38"/>
      <c r="BM141" s="38"/>
      <c r="BN141" s="38"/>
      <c r="BO141" s="38"/>
      <c r="BP141" s="38"/>
      <c r="BQ141" s="38"/>
      <c r="BR141" s="38"/>
    </row>
    <row r="142" spans="1:70">
      <c r="A142" s="38"/>
      <c r="B142" s="38"/>
      <c r="C142" s="43"/>
      <c r="D142" s="38"/>
      <c r="E142" s="38"/>
      <c r="F142" s="43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</row>
    <row r="143" spans="1:70">
      <c r="A143" s="38"/>
      <c r="B143" s="38"/>
      <c r="C143" s="43"/>
      <c r="D143" s="38"/>
      <c r="E143" s="38"/>
      <c r="F143" s="43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</row>
    <row r="144" spans="1:70">
      <c r="A144" s="38"/>
      <c r="B144" s="38"/>
      <c r="C144" s="43"/>
      <c r="D144" s="38"/>
      <c r="E144" s="38"/>
      <c r="F144" s="43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</row>
    <row r="145" spans="1:70">
      <c r="A145" s="38"/>
      <c r="B145" s="38"/>
      <c r="C145" s="43"/>
      <c r="D145" s="38"/>
      <c r="E145" s="38"/>
      <c r="F145" s="43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</row>
    <row r="146" spans="1:70">
      <c r="A146" s="38"/>
      <c r="B146" s="38"/>
      <c r="C146" s="43"/>
      <c r="D146" s="38"/>
      <c r="E146" s="38"/>
      <c r="F146" s="43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</row>
    <row r="147" spans="1:70">
      <c r="A147" s="38"/>
      <c r="B147" s="38"/>
      <c r="C147" s="43"/>
      <c r="D147" s="38"/>
      <c r="E147" s="38"/>
      <c r="F147" s="43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</row>
    <row r="148" spans="1:70">
      <c r="A148" s="38"/>
      <c r="B148" s="38"/>
      <c r="C148" s="43"/>
      <c r="D148" s="38"/>
      <c r="E148" s="38"/>
      <c r="F148" s="43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</row>
    <row r="149" spans="1:70">
      <c r="A149" s="38"/>
      <c r="B149" s="38"/>
      <c r="C149" s="43"/>
      <c r="D149" s="38"/>
      <c r="E149" s="38"/>
      <c r="F149" s="43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</row>
    <row r="150" spans="1:70">
      <c r="A150" s="38"/>
      <c r="B150" s="38"/>
      <c r="C150" s="43"/>
      <c r="D150" s="38"/>
      <c r="E150" s="38"/>
      <c r="F150" s="43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</row>
    <row r="151" spans="1:70">
      <c r="A151" s="38"/>
      <c r="B151" s="38"/>
      <c r="C151" s="43"/>
      <c r="D151" s="38"/>
      <c r="E151" s="38"/>
      <c r="F151" s="43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</row>
    <row r="152" spans="1:70">
      <c r="A152" s="38"/>
      <c r="B152" s="38"/>
      <c r="C152" s="43"/>
      <c r="D152" s="38"/>
      <c r="E152" s="38"/>
      <c r="F152" s="43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/>
      <c r="BK152" s="38"/>
      <c r="BL152" s="38"/>
      <c r="BM152" s="38"/>
      <c r="BN152" s="38"/>
      <c r="BO152" s="38"/>
      <c r="BP152" s="38"/>
      <c r="BQ152" s="38"/>
      <c r="BR152" s="38"/>
    </row>
    <row r="153" spans="1:70">
      <c r="A153" s="38"/>
      <c r="B153" s="38"/>
      <c r="C153" s="43"/>
      <c r="D153" s="38"/>
      <c r="E153" s="38"/>
      <c r="F153" s="43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</row>
    <row r="154" spans="1:70">
      <c r="A154" s="38"/>
      <c r="B154" s="38"/>
      <c r="C154" s="43"/>
      <c r="D154" s="38"/>
      <c r="E154" s="38"/>
      <c r="F154" s="43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38"/>
      <c r="BI154" s="38"/>
      <c r="BJ154" s="38"/>
      <c r="BK154" s="38"/>
      <c r="BL154" s="38"/>
      <c r="BM154" s="38"/>
      <c r="BN154" s="38"/>
      <c r="BO154" s="38"/>
      <c r="BP154" s="38"/>
      <c r="BQ154" s="38"/>
      <c r="BR154" s="38"/>
    </row>
    <row r="155" spans="1:70">
      <c r="A155" s="38"/>
      <c r="B155" s="38"/>
      <c r="C155" s="43"/>
      <c r="D155" s="38"/>
      <c r="E155" s="38"/>
      <c r="F155" s="43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</row>
    <row r="156" spans="1:70">
      <c r="A156" s="38"/>
      <c r="B156" s="38"/>
      <c r="C156" s="43"/>
      <c r="D156" s="38"/>
      <c r="E156" s="38"/>
      <c r="F156" s="43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</row>
    <row r="157" spans="1:70">
      <c r="A157" s="38"/>
      <c r="B157" s="38"/>
      <c r="C157" s="43"/>
      <c r="D157" s="38"/>
      <c r="E157" s="38"/>
      <c r="F157" s="43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</row>
    <row r="158" spans="1:70">
      <c r="A158" s="38"/>
      <c r="B158" s="38"/>
      <c r="C158" s="43"/>
      <c r="D158" s="38"/>
      <c r="E158" s="38"/>
      <c r="F158" s="43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/>
      <c r="BP158" s="38"/>
      <c r="BQ158" s="38"/>
      <c r="BR158" s="38"/>
    </row>
    <row r="159" spans="1:70">
      <c r="A159" s="38"/>
      <c r="B159" s="38"/>
      <c r="C159" s="43"/>
      <c r="D159" s="38"/>
      <c r="E159" s="38"/>
      <c r="F159" s="43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</row>
    <row r="160" spans="1:70">
      <c r="A160" s="38"/>
      <c r="B160" s="38"/>
      <c r="C160" s="43"/>
      <c r="D160" s="38"/>
      <c r="E160" s="38"/>
      <c r="F160" s="43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</row>
    <row r="161" spans="1:70">
      <c r="A161" s="38"/>
      <c r="B161" s="38"/>
      <c r="C161" s="43"/>
      <c r="D161" s="38"/>
      <c r="E161" s="38"/>
      <c r="F161" s="43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38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</row>
    <row r="162" spans="1:70">
      <c r="A162" s="38"/>
      <c r="B162" s="38"/>
      <c r="C162" s="43"/>
      <c r="D162" s="38"/>
      <c r="E162" s="38"/>
      <c r="F162" s="43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38"/>
      <c r="BI162" s="38"/>
      <c r="BJ162" s="38"/>
      <c r="BK162" s="38"/>
      <c r="BL162" s="38"/>
      <c r="BM162" s="38"/>
      <c r="BN162" s="38"/>
      <c r="BO162" s="38"/>
      <c r="BP162" s="38"/>
      <c r="BQ162" s="38"/>
      <c r="BR162" s="38"/>
    </row>
    <row r="163" spans="1:70">
      <c r="A163" s="38"/>
      <c r="B163" s="38"/>
      <c r="C163" s="43"/>
      <c r="D163" s="38"/>
      <c r="E163" s="38"/>
      <c r="F163" s="43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38"/>
      <c r="BI163" s="38"/>
      <c r="BJ163" s="38"/>
      <c r="BK163" s="38"/>
      <c r="BL163" s="38"/>
      <c r="BM163" s="38"/>
      <c r="BN163" s="38"/>
      <c r="BO163" s="38"/>
      <c r="BP163" s="38"/>
      <c r="BQ163" s="38"/>
      <c r="BR163" s="38"/>
    </row>
    <row r="164" spans="1:70">
      <c r="A164" s="38"/>
      <c r="B164" s="38"/>
      <c r="C164" s="43"/>
      <c r="D164" s="38"/>
      <c r="E164" s="38"/>
      <c r="F164" s="43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38"/>
      <c r="BI164" s="38"/>
      <c r="BJ164" s="38"/>
      <c r="BK164" s="38"/>
      <c r="BL164" s="38"/>
      <c r="BM164" s="38"/>
      <c r="BN164" s="38"/>
      <c r="BO164" s="38"/>
      <c r="BP164" s="38"/>
      <c r="BQ164" s="38"/>
      <c r="BR164" s="38"/>
    </row>
    <row r="165" spans="1:70">
      <c r="A165" s="38"/>
      <c r="B165" s="38"/>
      <c r="C165" s="43"/>
      <c r="D165" s="38"/>
      <c r="E165" s="38"/>
      <c r="F165" s="43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38"/>
      <c r="BI165" s="38"/>
      <c r="BJ165" s="38"/>
      <c r="BK165" s="38"/>
      <c r="BL165" s="38"/>
      <c r="BM165" s="38"/>
      <c r="BN165" s="38"/>
      <c r="BO165" s="38"/>
      <c r="BP165" s="38"/>
      <c r="BQ165" s="38"/>
      <c r="BR165" s="38"/>
    </row>
    <row r="166" spans="1:70">
      <c r="A166" s="38"/>
      <c r="B166" s="38"/>
      <c r="C166" s="43"/>
      <c r="D166" s="38"/>
      <c r="E166" s="38"/>
      <c r="F166" s="43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38"/>
      <c r="BI166" s="38"/>
      <c r="BJ166" s="38"/>
      <c r="BK166" s="38"/>
      <c r="BL166" s="38"/>
      <c r="BM166" s="38"/>
      <c r="BN166" s="38"/>
      <c r="BO166" s="38"/>
      <c r="BP166" s="38"/>
      <c r="BQ166" s="38"/>
      <c r="BR166" s="38"/>
    </row>
    <row r="167" spans="1:70">
      <c r="A167" s="38"/>
      <c r="B167" s="38"/>
      <c r="C167" s="43"/>
      <c r="D167" s="38"/>
      <c r="E167" s="38"/>
      <c r="F167" s="43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38"/>
      <c r="BI167" s="38"/>
      <c r="BJ167" s="38"/>
      <c r="BK167" s="38"/>
      <c r="BL167" s="38"/>
      <c r="BM167" s="38"/>
      <c r="BN167" s="38"/>
      <c r="BO167" s="38"/>
      <c r="BP167" s="38"/>
      <c r="BQ167" s="38"/>
      <c r="BR167" s="38"/>
    </row>
    <row r="168" spans="1:70">
      <c r="A168" s="38"/>
      <c r="B168" s="38"/>
      <c r="C168" s="43"/>
      <c r="D168" s="38"/>
      <c r="E168" s="38"/>
      <c r="F168" s="43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38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</row>
    <row r="169" spans="1:70">
      <c r="A169" s="38"/>
      <c r="B169" s="38"/>
      <c r="C169" s="43"/>
      <c r="D169" s="38"/>
      <c r="E169" s="38"/>
      <c r="F169" s="43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38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</row>
    <row r="170" spans="1:70">
      <c r="A170" s="38"/>
      <c r="B170" s="38"/>
      <c r="C170" s="43"/>
      <c r="D170" s="38"/>
      <c r="E170" s="38"/>
      <c r="F170" s="43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38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</row>
    <row r="171" spans="1:70">
      <c r="A171" s="38"/>
      <c r="B171" s="38"/>
      <c r="C171" s="43"/>
      <c r="D171" s="38"/>
      <c r="E171" s="38"/>
      <c r="F171" s="43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</row>
    <row r="172" spans="1:70">
      <c r="A172" s="38"/>
      <c r="B172" s="38"/>
      <c r="C172" s="43"/>
      <c r="D172" s="38"/>
      <c r="E172" s="38"/>
      <c r="F172" s="43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38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</row>
    <row r="173" spans="1:70">
      <c r="A173" s="38"/>
      <c r="B173" s="38"/>
      <c r="C173" s="43"/>
      <c r="D173" s="38"/>
      <c r="E173" s="38"/>
      <c r="F173" s="43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</row>
    <row r="174" spans="1:70">
      <c r="A174" s="38"/>
      <c r="B174" s="38"/>
      <c r="C174" s="43"/>
      <c r="D174" s="38"/>
      <c r="E174" s="38"/>
      <c r="F174" s="43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38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</row>
    <row r="175" spans="1:70">
      <c r="A175" s="38"/>
      <c r="B175" s="38"/>
      <c r="C175" s="43"/>
      <c r="D175" s="38"/>
      <c r="E175" s="38"/>
      <c r="F175" s="43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38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</row>
    <row r="176" spans="1:70">
      <c r="A176" s="38"/>
      <c r="B176" s="38"/>
      <c r="C176" s="43"/>
      <c r="D176" s="38"/>
      <c r="E176" s="38"/>
      <c r="F176" s="43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38"/>
      <c r="BI176" s="38"/>
      <c r="BJ176" s="38"/>
      <c r="BK176" s="38"/>
      <c r="BL176" s="38"/>
      <c r="BM176" s="38"/>
      <c r="BN176" s="38"/>
      <c r="BO176" s="38"/>
      <c r="BP176" s="38"/>
      <c r="BQ176" s="38"/>
      <c r="BR176" s="38"/>
    </row>
    <row r="177" spans="1:70">
      <c r="A177" s="38"/>
      <c r="B177" s="38"/>
      <c r="C177" s="43"/>
      <c r="D177" s="38"/>
      <c r="E177" s="38"/>
      <c r="F177" s="43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38"/>
      <c r="BI177" s="38"/>
      <c r="BJ177" s="38"/>
      <c r="BK177" s="38"/>
      <c r="BL177" s="38"/>
      <c r="BM177" s="38"/>
      <c r="BN177" s="38"/>
      <c r="BO177" s="38"/>
      <c r="BP177" s="38"/>
      <c r="BQ177" s="38"/>
      <c r="BR177" s="38"/>
    </row>
    <row r="178" spans="1:70">
      <c r="A178" s="38"/>
      <c r="B178" s="38"/>
      <c r="C178" s="43"/>
      <c r="D178" s="38"/>
      <c r="E178" s="38"/>
      <c r="F178" s="43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38"/>
      <c r="BI178" s="38"/>
      <c r="BJ178" s="38"/>
      <c r="BK178" s="38"/>
      <c r="BL178" s="38"/>
      <c r="BM178" s="38"/>
      <c r="BN178" s="38"/>
      <c r="BO178" s="38"/>
      <c r="BP178" s="38"/>
      <c r="BQ178" s="38"/>
      <c r="BR178" s="38"/>
    </row>
    <row r="179" spans="1:70">
      <c r="A179" s="38"/>
      <c r="B179" s="38"/>
      <c r="C179" s="43"/>
      <c r="D179" s="38"/>
      <c r="E179" s="38"/>
      <c r="F179" s="43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38"/>
      <c r="BI179" s="38"/>
      <c r="BJ179" s="38"/>
      <c r="BK179" s="38"/>
      <c r="BL179" s="38"/>
      <c r="BM179" s="38"/>
      <c r="BN179" s="38"/>
      <c r="BO179" s="38"/>
      <c r="BP179" s="38"/>
      <c r="BQ179" s="38"/>
      <c r="BR179" s="38"/>
    </row>
    <row r="180" spans="1:70">
      <c r="A180" s="38"/>
      <c r="B180" s="38"/>
      <c r="C180" s="43"/>
      <c r="D180" s="38"/>
      <c r="E180" s="38"/>
      <c r="F180" s="43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38"/>
      <c r="BI180" s="38"/>
      <c r="BJ180" s="38"/>
      <c r="BK180" s="38"/>
      <c r="BL180" s="38"/>
      <c r="BM180" s="38"/>
      <c r="BN180" s="38"/>
      <c r="BO180" s="38"/>
      <c r="BP180" s="38"/>
      <c r="BQ180" s="38"/>
      <c r="BR180" s="38"/>
    </row>
    <row r="181" spans="1:70">
      <c r="A181" s="38"/>
      <c r="B181" s="38"/>
      <c r="C181" s="43"/>
      <c r="D181" s="38"/>
      <c r="E181" s="38"/>
      <c r="F181" s="43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38"/>
      <c r="BI181" s="38"/>
      <c r="BJ181" s="38"/>
      <c r="BK181" s="38"/>
      <c r="BL181" s="38"/>
      <c r="BM181" s="38"/>
      <c r="BN181" s="38"/>
      <c r="BO181" s="38"/>
      <c r="BP181" s="38"/>
      <c r="BQ181" s="38"/>
      <c r="BR181" s="38"/>
    </row>
    <row r="182" spans="1:70">
      <c r="A182" s="38"/>
      <c r="B182" s="38"/>
      <c r="C182" s="43"/>
      <c r="D182" s="38"/>
      <c r="E182" s="38"/>
      <c r="F182" s="43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38"/>
      <c r="BI182" s="38"/>
      <c r="BJ182" s="38"/>
      <c r="BK182" s="38"/>
      <c r="BL182" s="38"/>
      <c r="BM182" s="38"/>
      <c r="BN182" s="38"/>
      <c r="BO182" s="38"/>
      <c r="BP182" s="38"/>
      <c r="BQ182" s="38"/>
      <c r="BR182" s="38"/>
    </row>
    <row r="183" spans="1:70">
      <c r="A183" s="38"/>
      <c r="B183" s="38"/>
      <c r="C183" s="43"/>
      <c r="D183" s="38"/>
      <c r="E183" s="38"/>
      <c r="F183" s="43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</row>
    <row r="184" spans="1:70">
      <c r="A184" s="38"/>
      <c r="B184" s="38"/>
      <c r="C184" s="43"/>
      <c r="D184" s="38"/>
      <c r="E184" s="38"/>
      <c r="F184" s="43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</row>
    <row r="185" spans="1:70">
      <c r="A185" s="38"/>
      <c r="B185" s="38"/>
      <c r="C185" s="43"/>
      <c r="D185" s="38"/>
      <c r="E185" s="38"/>
      <c r="F185" s="43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</row>
    <row r="186" spans="1:70">
      <c r="A186" s="38"/>
      <c r="B186" s="38"/>
      <c r="C186" s="43"/>
      <c r="D186" s="38"/>
      <c r="E186" s="38"/>
      <c r="F186" s="43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</row>
    <row r="187" spans="1:70">
      <c r="A187" s="38"/>
      <c r="B187" s="38"/>
      <c r="C187" s="43"/>
      <c r="D187" s="38"/>
      <c r="E187" s="38"/>
      <c r="F187" s="43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</row>
    <row r="188" spans="1:70">
      <c r="A188" s="38"/>
      <c r="B188" s="38"/>
      <c r="C188" s="43"/>
      <c r="D188" s="38"/>
      <c r="E188" s="38"/>
      <c r="F188" s="43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  <c r="BA188" s="38"/>
      <c r="BB188" s="38"/>
      <c r="BC188" s="38"/>
      <c r="BD188" s="38"/>
      <c r="BE188" s="38"/>
      <c r="BF188" s="38"/>
      <c r="BG188" s="38"/>
      <c r="BH188" s="38"/>
      <c r="BI188" s="38"/>
      <c r="BJ188" s="38"/>
      <c r="BK188" s="38"/>
      <c r="BL188" s="38"/>
      <c r="BM188" s="38"/>
      <c r="BN188" s="38"/>
      <c r="BO188" s="38"/>
      <c r="BP188" s="38"/>
      <c r="BQ188" s="38"/>
      <c r="BR188" s="38"/>
    </row>
    <row r="189" spans="1:70">
      <c r="A189" s="38"/>
      <c r="B189" s="38"/>
      <c r="C189" s="43"/>
      <c r="D189" s="38"/>
      <c r="E189" s="38"/>
      <c r="F189" s="43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38"/>
      <c r="BE189" s="38"/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</row>
    <row r="190" spans="1:70">
      <c r="A190" s="38"/>
      <c r="B190" s="38"/>
      <c r="C190" s="43"/>
      <c r="D190" s="38"/>
      <c r="E190" s="38"/>
      <c r="F190" s="43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  <c r="BA190" s="38"/>
      <c r="BB190" s="38"/>
      <c r="BC190" s="38"/>
      <c r="BD190" s="38"/>
      <c r="BE190" s="38"/>
      <c r="BF190" s="38"/>
      <c r="BG190" s="38"/>
      <c r="BH190" s="38"/>
      <c r="BI190" s="38"/>
      <c r="BJ190" s="38"/>
      <c r="BK190" s="38"/>
      <c r="BL190" s="38"/>
      <c r="BM190" s="38"/>
      <c r="BN190" s="38"/>
      <c r="BO190" s="38"/>
      <c r="BP190" s="38"/>
      <c r="BQ190" s="38"/>
      <c r="BR190" s="38"/>
    </row>
    <row r="191" spans="1:70">
      <c r="A191" s="38"/>
      <c r="B191" s="38"/>
      <c r="C191" s="43"/>
      <c r="D191" s="38"/>
      <c r="E191" s="38"/>
      <c r="F191" s="43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  <c r="BA191" s="38"/>
      <c r="BB191" s="38"/>
      <c r="BC191" s="38"/>
      <c r="BD191" s="38"/>
      <c r="BE191" s="38"/>
      <c r="BF191" s="38"/>
      <c r="BG191" s="38"/>
      <c r="BH191" s="38"/>
      <c r="BI191" s="38"/>
      <c r="BJ191" s="38"/>
      <c r="BK191" s="38"/>
      <c r="BL191" s="38"/>
      <c r="BM191" s="38"/>
      <c r="BN191" s="38"/>
      <c r="BO191" s="38"/>
      <c r="BP191" s="38"/>
      <c r="BQ191" s="38"/>
      <c r="BR191" s="38"/>
    </row>
    <row r="192" spans="1:70">
      <c r="A192" s="38"/>
      <c r="B192" s="38"/>
      <c r="C192" s="43"/>
      <c r="D192" s="38"/>
      <c r="E192" s="38"/>
      <c r="F192" s="43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38"/>
      <c r="BE192" s="38"/>
      <c r="BF192" s="38"/>
      <c r="BG192" s="38"/>
      <c r="BH192" s="38"/>
      <c r="BI192" s="38"/>
      <c r="BJ192" s="38"/>
      <c r="BK192" s="38"/>
      <c r="BL192" s="38"/>
      <c r="BM192" s="38"/>
      <c r="BN192" s="38"/>
      <c r="BO192" s="38"/>
      <c r="BP192" s="38"/>
      <c r="BQ192" s="38"/>
      <c r="BR192" s="38"/>
    </row>
    <row r="193" spans="1:70">
      <c r="A193" s="38"/>
      <c r="B193" s="38"/>
      <c r="C193" s="43"/>
      <c r="D193" s="38"/>
      <c r="E193" s="38"/>
      <c r="F193" s="43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  <c r="BA193" s="38"/>
      <c r="BB193" s="38"/>
      <c r="BC193" s="38"/>
      <c r="BD193" s="38"/>
      <c r="BE193" s="38"/>
      <c r="BF193" s="38"/>
      <c r="BG193" s="38"/>
      <c r="BH193" s="38"/>
      <c r="BI193" s="38"/>
      <c r="BJ193" s="38"/>
      <c r="BK193" s="38"/>
      <c r="BL193" s="38"/>
      <c r="BM193" s="38"/>
      <c r="BN193" s="38"/>
      <c r="BO193" s="38"/>
      <c r="BP193" s="38"/>
      <c r="BQ193" s="38"/>
      <c r="BR193" s="38"/>
    </row>
    <row r="194" spans="1:70">
      <c r="A194" s="38"/>
      <c r="B194" s="38"/>
      <c r="C194" s="43"/>
      <c r="D194" s="38"/>
      <c r="E194" s="38"/>
      <c r="F194" s="43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  <c r="BA194" s="38"/>
      <c r="BB194" s="38"/>
      <c r="BC194" s="38"/>
      <c r="BD194" s="38"/>
      <c r="BE194" s="38"/>
      <c r="BF194" s="38"/>
      <c r="BG194" s="38"/>
      <c r="BH194" s="38"/>
      <c r="BI194" s="38"/>
      <c r="BJ194" s="38"/>
      <c r="BK194" s="38"/>
      <c r="BL194" s="38"/>
      <c r="BM194" s="38"/>
      <c r="BN194" s="38"/>
      <c r="BO194" s="38"/>
      <c r="BP194" s="38"/>
      <c r="BQ194" s="38"/>
      <c r="BR194" s="38"/>
    </row>
    <row r="195" spans="1:70">
      <c r="A195" s="38"/>
      <c r="B195" s="38"/>
      <c r="C195" s="43"/>
      <c r="D195" s="38"/>
      <c r="E195" s="38"/>
      <c r="F195" s="43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38"/>
      <c r="BE195" s="38"/>
      <c r="BF195" s="38"/>
      <c r="BG195" s="38"/>
      <c r="BH195" s="38"/>
      <c r="BI195" s="38"/>
      <c r="BJ195" s="38"/>
      <c r="BK195" s="38"/>
      <c r="BL195" s="38"/>
      <c r="BM195" s="38"/>
      <c r="BN195" s="38"/>
      <c r="BO195" s="38"/>
      <c r="BP195" s="38"/>
      <c r="BQ195" s="38"/>
      <c r="BR195" s="38"/>
    </row>
    <row r="196" spans="1:70">
      <c r="A196" s="38"/>
      <c r="B196" s="38"/>
      <c r="C196" s="43"/>
      <c r="D196" s="38"/>
      <c r="E196" s="38"/>
      <c r="F196" s="43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 s="38"/>
      <c r="BE196" s="38"/>
      <c r="BF196" s="38"/>
      <c r="BG196" s="38"/>
      <c r="BH196" s="38"/>
      <c r="BI196" s="38"/>
      <c r="BJ196" s="38"/>
      <c r="BK196" s="38"/>
      <c r="BL196" s="38"/>
      <c r="BM196" s="38"/>
      <c r="BN196" s="38"/>
      <c r="BO196" s="38"/>
      <c r="BP196" s="38"/>
      <c r="BQ196" s="38"/>
      <c r="BR196" s="38"/>
    </row>
    <row r="197" spans="1:70">
      <c r="A197" s="38"/>
      <c r="B197" s="38"/>
      <c r="C197" s="43"/>
      <c r="D197" s="38"/>
      <c r="E197" s="38"/>
      <c r="F197" s="43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 s="38"/>
      <c r="BE197" s="38"/>
      <c r="BF197" s="38"/>
      <c r="BG197" s="38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</row>
    <row r="198" spans="1:70">
      <c r="A198" s="38"/>
      <c r="B198" s="38"/>
      <c r="C198" s="43"/>
      <c r="D198" s="38"/>
      <c r="E198" s="38"/>
      <c r="F198" s="43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 s="38"/>
      <c r="BE198" s="38"/>
      <c r="BF198" s="38"/>
      <c r="BG198" s="3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</row>
    <row r="199" spans="1:70">
      <c r="A199" s="38"/>
      <c r="B199" s="38"/>
      <c r="C199" s="43"/>
      <c r="D199" s="38"/>
      <c r="E199" s="38"/>
      <c r="F199" s="43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38"/>
      <c r="BE199" s="38"/>
      <c r="BF199" s="38"/>
      <c r="BG199" s="38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</row>
    <row r="200" spans="1:70">
      <c r="A200" s="38"/>
      <c r="B200" s="38"/>
      <c r="C200" s="43"/>
      <c r="D200" s="38"/>
      <c r="E200" s="38"/>
      <c r="F200" s="43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38"/>
      <c r="BE200" s="38"/>
      <c r="BF200" s="38"/>
      <c r="BG200" s="38"/>
      <c r="BH200" s="38"/>
      <c r="BI200" s="38"/>
      <c r="BJ200" s="38"/>
      <c r="BK200" s="38"/>
      <c r="BL200" s="38"/>
      <c r="BM200" s="38"/>
      <c r="BN200" s="38"/>
      <c r="BO200" s="38"/>
      <c r="BP200" s="38"/>
      <c r="BQ200" s="38"/>
      <c r="BR200" s="38"/>
    </row>
    <row r="201" spans="1:70">
      <c r="A201" s="38"/>
      <c r="B201" s="38"/>
      <c r="C201" s="43"/>
      <c r="D201" s="38"/>
      <c r="E201" s="38"/>
      <c r="F201" s="43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38"/>
      <c r="BE201" s="38"/>
      <c r="BF201" s="38"/>
      <c r="BG201" s="38"/>
      <c r="BH201" s="38"/>
      <c r="BI201" s="38"/>
      <c r="BJ201" s="38"/>
      <c r="BK201" s="38"/>
      <c r="BL201" s="38"/>
      <c r="BM201" s="38"/>
      <c r="BN201" s="38"/>
      <c r="BO201" s="38"/>
      <c r="BP201" s="38"/>
      <c r="BQ201" s="38"/>
      <c r="BR201" s="38"/>
    </row>
    <row r="202" spans="1:70">
      <c r="A202" s="38"/>
      <c r="B202" s="38"/>
      <c r="C202" s="43"/>
      <c r="D202" s="38"/>
      <c r="E202" s="38"/>
      <c r="F202" s="43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38"/>
      <c r="BE202" s="38"/>
      <c r="BF202" s="38"/>
      <c r="BG202" s="38"/>
      <c r="BH202" s="38"/>
      <c r="BI202" s="38"/>
      <c r="BJ202" s="38"/>
      <c r="BK202" s="38"/>
      <c r="BL202" s="38"/>
      <c r="BM202" s="38"/>
      <c r="BN202" s="38"/>
      <c r="BO202" s="38"/>
      <c r="BP202" s="38"/>
      <c r="BQ202" s="38"/>
      <c r="BR202" s="38"/>
    </row>
    <row r="203" spans="1:70">
      <c r="A203" s="38"/>
      <c r="B203" s="38"/>
      <c r="C203" s="43"/>
      <c r="D203" s="38"/>
      <c r="E203" s="38"/>
      <c r="F203" s="43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</row>
    <row r="204" spans="1:70">
      <c r="A204" s="38"/>
      <c r="B204" s="38"/>
      <c r="C204" s="43"/>
      <c r="D204" s="38"/>
      <c r="E204" s="38"/>
      <c r="F204" s="43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</row>
    <row r="205" spans="1:70">
      <c r="A205" s="38"/>
      <c r="B205" s="38"/>
      <c r="C205" s="43"/>
      <c r="D205" s="38"/>
      <c r="E205" s="38"/>
      <c r="F205" s="43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</row>
    <row r="206" spans="1:70">
      <c r="A206" s="38"/>
      <c r="B206" s="38"/>
      <c r="C206" s="43"/>
      <c r="D206" s="38"/>
      <c r="E206" s="38"/>
      <c r="F206" s="43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8"/>
      <c r="AN206" s="38"/>
      <c r="AO206" s="38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38"/>
      <c r="BE206" s="38"/>
      <c r="BF206" s="38"/>
      <c r="BG206" s="38"/>
      <c r="BH206" s="38"/>
      <c r="BI206" s="38"/>
      <c r="BJ206" s="38"/>
      <c r="BK206" s="38"/>
      <c r="BL206" s="38"/>
      <c r="BM206" s="38"/>
      <c r="BN206" s="38"/>
      <c r="BO206" s="38"/>
      <c r="BP206" s="38"/>
      <c r="BQ206" s="38"/>
      <c r="BR206" s="38"/>
    </row>
    <row r="207" spans="1:70">
      <c r="A207" s="38"/>
      <c r="B207" s="38"/>
      <c r="C207" s="43"/>
      <c r="D207" s="38"/>
      <c r="E207" s="38"/>
      <c r="F207" s="43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38"/>
      <c r="BE207" s="38"/>
      <c r="BF207" s="38"/>
      <c r="BG207" s="38"/>
      <c r="BH207" s="38"/>
      <c r="BI207" s="38"/>
      <c r="BJ207" s="38"/>
      <c r="BK207" s="38"/>
      <c r="BL207" s="38"/>
      <c r="BM207" s="38"/>
      <c r="BN207" s="38"/>
      <c r="BO207" s="38"/>
      <c r="BP207" s="38"/>
      <c r="BQ207" s="38"/>
      <c r="BR207" s="38"/>
    </row>
    <row r="208" spans="1:70">
      <c r="A208" s="38"/>
      <c r="B208" s="38"/>
      <c r="C208" s="43"/>
      <c r="D208" s="38"/>
      <c r="E208" s="38"/>
      <c r="F208" s="43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38"/>
      <c r="BE208" s="38"/>
      <c r="BF208" s="38"/>
      <c r="BG208" s="38"/>
      <c r="BH208" s="38"/>
      <c r="BI208" s="38"/>
      <c r="BJ208" s="38"/>
      <c r="BK208" s="38"/>
      <c r="BL208" s="38"/>
      <c r="BM208" s="38"/>
      <c r="BN208" s="38"/>
      <c r="BO208" s="38"/>
      <c r="BP208" s="38"/>
      <c r="BQ208" s="38"/>
      <c r="BR208" s="38"/>
    </row>
    <row r="209" spans="1:70">
      <c r="A209" s="38"/>
      <c r="B209" s="38"/>
      <c r="C209" s="43"/>
      <c r="D209" s="38"/>
      <c r="E209" s="38"/>
      <c r="F209" s="43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38"/>
      <c r="BE209" s="38"/>
      <c r="BF209" s="38"/>
      <c r="BG209" s="38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</row>
    <row r="210" spans="1:70">
      <c r="A210" s="38"/>
      <c r="B210" s="38"/>
      <c r="C210" s="43"/>
      <c r="D210" s="38"/>
      <c r="E210" s="38"/>
      <c r="F210" s="43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38"/>
      <c r="BE210" s="38"/>
      <c r="BF210" s="38"/>
      <c r="BG210" s="38"/>
      <c r="BH210" s="38"/>
      <c r="BI210" s="38"/>
      <c r="BJ210" s="38"/>
      <c r="BK210" s="38"/>
      <c r="BL210" s="38"/>
      <c r="BM210" s="38"/>
      <c r="BN210" s="38"/>
      <c r="BO210" s="38"/>
      <c r="BP210" s="38"/>
      <c r="BQ210" s="38"/>
      <c r="BR210" s="38"/>
    </row>
    <row r="211" spans="1:70">
      <c r="A211" s="38"/>
      <c r="B211" s="38"/>
      <c r="C211" s="43"/>
      <c r="D211" s="38"/>
      <c r="E211" s="38"/>
      <c r="F211" s="43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/>
    </row>
    <row r="212" spans="1:70">
      <c r="A212" s="38"/>
      <c r="B212" s="38"/>
      <c r="C212" s="43"/>
      <c r="D212" s="38"/>
      <c r="E212" s="38"/>
      <c r="F212" s="43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  <c r="AN212" s="38"/>
      <c r="AO212" s="38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 s="38"/>
      <c r="BE212" s="38"/>
      <c r="BF212" s="38"/>
      <c r="BG212" s="38"/>
      <c r="BH212" s="38"/>
      <c r="BI212" s="38"/>
      <c r="BJ212" s="38"/>
      <c r="BK212" s="38"/>
      <c r="BL212" s="38"/>
      <c r="BM212" s="38"/>
      <c r="BN212" s="38"/>
      <c r="BO212" s="38"/>
      <c r="BP212" s="38"/>
      <c r="BQ212" s="38"/>
      <c r="BR212" s="38"/>
    </row>
    <row r="213" spans="1:70">
      <c r="A213" s="38"/>
      <c r="B213" s="38"/>
      <c r="C213" s="43"/>
      <c r="D213" s="38"/>
      <c r="E213" s="38"/>
      <c r="F213" s="43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38"/>
      <c r="BE213" s="38"/>
      <c r="BF213" s="38"/>
      <c r="BG213" s="38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/>
      <c r="BR213" s="38"/>
    </row>
    <row r="214" spans="1:70">
      <c r="A214" s="38"/>
      <c r="B214" s="38"/>
      <c r="C214" s="43"/>
      <c r="D214" s="38"/>
      <c r="E214" s="38"/>
      <c r="F214" s="43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8"/>
      <c r="BG214" s="38"/>
      <c r="BH214" s="38"/>
      <c r="BI214" s="38"/>
      <c r="BJ214" s="38"/>
      <c r="BK214" s="38"/>
      <c r="BL214" s="38"/>
      <c r="BM214" s="38"/>
      <c r="BN214" s="38"/>
      <c r="BO214" s="38"/>
      <c r="BP214" s="38"/>
      <c r="BQ214" s="38"/>
      <c r="BR214" s="38"/>
    </row>
    <row r="215" spans="1:70">
      <c r="A215" s="38"/>
      <c r="B215" s="38"/>
      <c r="C215" s="43"/>
      <c r="D215" s="38"/>
      <c r="E215" s="38"/>
      <c r="F215" s="43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8"/>
      <c r="BG215" s="38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</row>
    <row r="216" spans="1:70">
      <c r="A216" s="38"/>
      <c r="B216" s="38"/>
      <c r="C216" s="43"/>
      <c r="D216" s="38"/>
      <c r="E216" s="38"/>
      <c r="F216" s="43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8"/>
      <c r="BG216" s="38"/>
      <c r="BH216" s="38"/>
      <c r="BI216" s="38"/>
      <c r="BJ216" s="38"/>
      <c r="BK216" s="38"/>
      <c r="BL216" s="38"/>
      <c r="BM216" s="38"/>
      <c r="BN216" s="38"/>
      <c r="BO216" s="38"/>
      <c r="BP216" s="38"/>
      <c r="BQ216" s="38"/>
      <c r="BR216" s="38"/>
    </row>
    <row r="217" spans="1:70">
      <c r="A217" s="38"/>
      <c r="B217" s="38"/>
      <c r="C217" s="43"/>
      <c r="D217" s="38"/>
      <c r="E217" s="38"/>
      <c r="F217" s="43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8"/>
      <c r="BG217" s="38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</row>
    <row r="218" spans="1:70">
      <c r="A218" s="38"/>
      <c r="B218" s="38"/>
      <c r="C218" s="43"/>
      <c r="D218" s="38"/>
      <c r="E218" s="38"/>
      <c r="F218" s="43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8"/>
      <c r="BG218" s="38"/>
      <c r="BH218" s="38"/>
      <c r="BI218" s="38"/>
      <c r="BJ218" s="38"/>
      <c r="BK218" s="38"/>
      <c r="BL218" s="38"/>
      <c r="BM218" s="38"/>
      <c r="BN218" s="38"/>
      <c r="BO218" s="38"/>
      <c r="BP218" s="38"/>
      <c r="BQ218" s="38"/>
      <c r="BR218" s="38"/>
    </row>
    <row r="219" spans="1:70">
      <c r="A219" s="38"/>
      <c r="B219" s="38"/>
      <c r="C219" s="43"/>
      <c r="D219" s="38"/>
      <c r="E219" s="38"/>
      <c r="F219" s="43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8"/>
      <c r="BG219" s="38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</row>
    <row r="220" spans="1:70">
      <c r="A220" s="38"/>
      <c r="B220" s="38"/>
      <c r="C220" s="43"/>
      <c r="D220" s="38"/>
      <c r="E220" s="38"/>
      <c r="F220" s="43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8"/>
      <c r="BG220" s="38"/>
      <c r="BH220" s="38"/>
      <c r="BI220" s="38"/>
      <c r="BJ220" s="38"/>
      <c r="BK220" s="38"/>
      <c r="BL220" s="38"/>
      <c r="BM220" s="38"/>
      <c r="BN220" s="38"/>
      <c r="BO220" s="38"/>
      <c r="BP220" s="38"/>
      <c r="BQ220" s="38"/>
      <c r="BR220" s="38"/>
    </row>
    <row r="221" spans="1:70">
      <c r="A221" s="38"/>
      <c r="B221" s="38"/>
      <c r="C221" s="43"/>
      <c r="D221" s="38"/>
      <c r="E221" s="38"/>
      <c r="F221" s="43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38"/>
      <c r="BE221" s="38"/>
      <c r="BF221" s="38"/>
      <c r="BG221" s="38"/>
      <c r="BH221" s="38"/>
      <c r="BI221" s="38"/>
      <c r="BJ221" s="38"/>
      <c r="BK221" s="38"/>
      <c r="BL221" s="38"/>
      <c r="BM221" s="38"/>
      <c r="BN221" s="38"/>
      <c r="BO221" s="38"/>
      <c r="BP221" s="38"/>
      <c r="BQ221" s="38"/>
      <c r="BR221" s="38"/>
    </row>
    <row r="222" spans="1:70">
      <c r="A222" s="38"/>
      <c r="B222" s="38"/>
      <c r="C222" s="43"/>
      <c r="D222" s="38"/>
      <c r="E222" s="38"/>
      <c r="F222" s="43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8"/>
      <c r="BG222" s="38"/>
      <c r="BH222" s="38"/>
      <c r="BI222" s="38"/>
      <c r="BJ222" s="38"/>
      <c r="BK222" s="38"/>
      <c r="BL222" s="38"/>
      <c r="BM222" s="38"/>
      <c r="BN222" s="38"/>
      <c r="BO222" s="38"/>
      <c r="BP222" s="38"/>
      <c r="BQ222" s="38"/>
      <c r="BR222" s="38"/>
    </row>
    <row r="223" spans="1:70">
      <c r="A223" s="38"/>
      <c r="B223" s="38"/>
      <c r="C223" s="43"/>
      <c r="D223" s="38"/>
      <c r="E223" s="38"/>
      <c r="F223" s="43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8"/>
      <c r="BG223" s="38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</row>
    <row r="224" spans="1:70">
      <c r="A224" s="38"/>
      <c r="B224" s="38"/>
      <c r="C224" s="43"/>
      <c r="D224" s="38"/>
      <c r="E224" s="38"/>
      <c r="F224" s="43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  <c r="BA224" s="38"/>
      <c r="BB224" s="38"/>
      <c r="BC224" s="38"/>
      <c r="BD224" s="38"/>
      <c r="BE224" s="38"/>
      <c r="BF224" s="38"/>
      <c r="BG224" s="38"/>
      <c r="BH224" s="38"/>
      <c r="BI224" s="38"/>
      <c r="BJ224" s="38"/>
      <c r="BK224" s="38"/>
      <c r="BL224" s="38"/>
      <c r="BM224" s="38"/>
      <c r="BN224" s="38"/>
      <c r="BO224" s="38"/>
      <c r="BP224" s="38"/>
      <c r="BQ224" s="38"/>
      <c r="BR224" s="38"/>
    </row>
    <row r="225" spans="1:70">
      <c r="A225" s="38"/>
      <c r="B225" s="38"/>
      <c r="C225" s="43"/>
      <c r="D225" s="38"/>
      <c r="E225" s="38"/>
      <c r="F225" s="43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  <c r="BE225" s="38"/>
      <c r="BF225" s="38"/>
      <c r="BG225" s="38"/>
      <c r="BH225" s="38"/>
      <c r="BI225" s="38"/>
      <c r="BJ225" s="38"/>
      <c r="BK225" s="38"/>
      <c r="BL225" s="38"/>
      <c r="BM225" s="38"/>
      <c r="BN225" s="38"/>
      <c r="BO225" s="38"/>
      <c r="BP225" s="38"/>
      <c r="BQ225" s="38"/>
      <c r="BR225" s="38"/>
    </row>
    <row r="226" spans="1:70">
      <c r="A226" s="38"/>
      <c r="B226" s="38"/>
      <c r="C226" s="43"/>
      <c r="D226" s="38"/>
      <c r="E226" s="38"/>
      <c r="F226" s="43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 s="38"/>
      <c r="BE226" s="38"/>
      <c r="BF226" s="38"/>
      <c r="BG226" s="38"/>
      <c r="BH226" s="38"/>
      <c r="BI226" s="38"/>
      <c r="BJ226" s="38"/>
      <c r="BK226" s="38"/>
      <c r="BL226" s="38"/>
      <c r="BM226" s="38"/>
      <c r="BN226" s="38"/>
      <c r="BO226" s="38"/>
      <c r="BP226" s="38"/>
      <c r="BQ226" s="38"/>
      <c r="BR226" s="38"/>
    </row>
    <row r="227" spans="1:70">
      <c r="A227" s="38"/>
      <c r="B227" s="38"/>
      <c r="C227" s="43"/>
      <c r="D227" s="38"/>
      <c r="E227" s="38"/>
      <c r="F227" s="43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38"/>
      <c r="BE227" s="38"/>
      <c r="BF227" s="38"/>
      <c r="BG227" s="38"/>
      <c r="BH227" s="38"/>
      <c r="BI227" s="38"/>
      <c r="BJ227" s="38"/>
      <c r="BK227" s="38"/>
      <c r="BL227" s="38"/>
      <c r="BM227" s="38"/>
      <c r="BN227" s="38"/>
      <c r="BO227" s="38"/>
      <c r="BP227" s="38"/>
      <c r="BQ227" s="38"/>
      <c r="BR227" s="38"/>
    </row>
    <row r="228" spans="1:70">
      <c r="A228" s="38"/>
      <c r="B228" s="38"/>
      <c r="C228" s="43"/>
      <c r="D228" s="38"/>
      <c r="E228" s="38"/>
      <c r="F228" s="43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8"/>
      <c r="AJ228" s="38"/>
      <c r="AK228" s="38"/>
      <c r="AL228" s="38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  <c r="BA228" s="38"/>
      <c r="BB228" s="38"/>
      <c r="BC228" s="38"/>
      <c r="BD228" s="38"/>
      <c r="BE228" s="38"/>
      <c r="BF228" s="38"/>
      <c r="BG228" s="38"/>
      <c r="BH228" s="38"/>
      <c r="BI228" s="38"/>
      <c r="BJ228" s="38"/>
      <c r="BK228" s="38"/>
      <c r="BL228" s="38"/>
      <c r="BM228" s="38"/>
      <c r="BN228" s="38"/>
      <c r="BO228" s="38"/>
      <c r="BP228" s="38"/>
      <c r="BQ228" s="38"/>
      <c r="BR228" s="38"/>
    </row>
    <row r="229" spans="1:70">
      <c r="A229" s="38"/>
      <c r="B229" s="38"/>
      <c r="C229" s="43"/>
      <c r="D229" s="38"/>
      <c r="E229" s="38"/>
      <c r="F229" s="43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8"/>
      <c r="AJ229" s="38"/>
      <c r="AK229" s="38"/>
      <c r="AL229" s="38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  <c r="BA229" s="38"/>
      <c r="BB229" s="38"/>
      <c r="BC229" s="38"/>
      <c r="BD229" s="38"/>
      <c r="BE229" s="38"/>
      <c r="BF229" s="38"/>
      <c r="BG229" s="38"/>
      <c r="BH229" s="38"/>
      <c r="BI229" s="38"/>
      <c r="BJ229" s="38"/>
      <c r="BK229" s="38"/>
      <c r="BL229" s="38"/>
      <c r="BM229" s="38"/>
      <c r="BN229" s="38"/>
      <c r="BO229" s="38"/>
      <c r="BP229" s="38"/>
      <c r="BQ229" s="38"/>
      <c r="BR229" s="38"/>
    </row>
    <row r="230" spans="1:70">
      <c r="A230" s="38"/>
      <c r="B230" s="38"/>
      <c r="C230" s="43"/>
      <c r="D230" s="38"/>
      <c r="E230" s="38"/>
      <c r="F230" s="43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8"/>
      <c r="AN230" s="38"/>
      <c r="AO230" s="38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  <c r="BA230" s="38"/>
      <c r="BB230" s="38"/>
      <c r="BC230" s="38"/>
      <c r="BD230" s="38"/>
      <c r="BE230" s="38"/>
      <c r="BF230" s="38"/>
      <c r="BG230" s="38"/>
      <c r="BH230" s="38"/>
      <c r="BI230" s="38"/>
      <c r="BJ230" s="38"/>
      <c r="BK230" s="38"/>
      <c r="BL230" s="38"/>
      <c r="BM230" s="38"/>
      <c r="BN230" s="38"/>
      <c r="BO230" s="38"/>
      <c r="BP230" s="38"/>
      <c r="BQ230" s="38"/>
      <c r="BR230" s="38"/>
    </row>
    <row r="231" spans="1:70">
      <c r="A231" s="38"/>
      <c r="B231" s="38"/>
      <c r="C231" s="43"/>
      <c r="D231" s="38"/>
      <c r="E231" s="38"/>
      <c r="F231" s="43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  <c r="BA231" s="38"/>
      <c r="BB231" s="38"/>
      <c r="BC231" s="38"/>
      <c r="BD231" s="38"/>
      <c r="BE231" s="38"/>
      <c r="BF231" s="38"/>
      <c r="BG231" s="38"/>
      <c r="BH231" s="38"/>
      <c r="BI231" s="38"/>
      <c r="BJ231" s="38"/>
      <c r="BK231" s="38"/>
      <c r="BL231" s="38"/>
      <c r="BM231" s="38"/>
      <c r="BN231" s="38"/>
      <c r="BO231" s="38"/>
      <c r="BP231" s="38"/>
      <c r="BQ231" s="38"/>
      <c r="BR231" s="38"/>
    </row>
    <row r="232" spans="1:70">
      <c r="A232" s="38"/>
      <c r="B232" s="38"/>
      <c r="C232" s="43"/>
      <c r="D232" s="38"/>
      <c r="E232" s="38"/>
      <c r="F232" s="43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8"/>
      <c r="AJ232" s="38"/>
      <c r="AK232" s="38"/>
      <c r="AL232" s="38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  <c r="BA232" s="38"/>
      <c r="BB232" s="38"/>
      <c r="BC232" s="38"/>
      <c r="BD232" s="38"/>
      <c r="BE232" s="38"/>
      <c r="BF232" s="38"/>
      <c r="BG232" s="38"/>
      <c r="BH232" s="38"/>
      <c r="BI232" s="38"/>
      <c r="BJ232" s="38"/>
      <c r="BK232" s="38"/>
      <c r="BL232" s="38"/>
      <c r="BM232" s="38"/>
      <c r="BN232" s="38"/>
      <c r="BO232" s="38"/>
      <c r="BP232" s="38"/>
      <c r="BQ232" s="38"/>
      <c r="BR232" s="38"/>
    </row>
    <row r="233" spans="1:70">
      <c r="A233" s="38"/>
      <c r="B233" s="38"/>
      <c r="C233" s="43"/>
      <c r="D233" s="38"/>
      <c r="E233" s="38"/>
      <c r="F233" s="43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  <c r="AN233" s="38"/>
      <c r="AO233" s="38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  <c r="BA233" s="38"/>
      <c r="BB233" s="38"/>
      <c r="BC233" s="38"/>
      <c r="BD233" s="38"/>
      <c r="BE233" s="38"/>
      <c r="BF233" s="38"/>
      <c r="BG233" s="38"/>
      <c r="BH233" s="38"/>
      <c r="BI233" s="38"/>
      <c r="BJ233" s="38"/>
      <c r="BK233" s="38"/>
      <c r="BL233" s="38"/>
      <c r="BM233" s="38"/>
      <c r="BN233" s="38"/>
      <c r="BO233" s="38"/>
      <c r="BP233" s="38"/>
      <c r="BQ233" s="38"/>
      <c r="BR233" s="38"/>
    </row>
    <row r="234" spans="1:70">
      <c r="A234" s="38"/>
      <c r="B234" s="38"/>
      <c r="C234" s="43"/>
      <c r="D234" s="38"/>
      <c r="E234" s="38"/>
      <c r="F234" s="43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  <c r="BA234" s="38"/>
      <c r="BB234" s="38"/>
      <c r="BC234" s="38"/>
      <c r="BD234" s="38"/>
      <c r="BE234" s="38"/>
      <c r="BF234" s="38"/>
      <c r="BG234" s="38"/>
      <c r="BH234" s="38"/>
      <c r="BI234" s="38"/>
      <c r="BJ234" s="38"/>
      <c r="BK234" s="38"/>
      <c r="BL234" s="38"/>
      <c r="BM234" s="38"/>
      <c r="BN234" s="38"/>
      <c r="BO234" s="38"/>
      <c r="BP234" s="38"/>
      <c r="BQ234" s="38"/>
      <c r="BR234" s="38"/>
    </row>
    <row r="235" spans="1:70">
      <c r="A235" s="38"/>
      <c r="B235" s="38"/>
      <c r="C235" s="43"/>
      <c r="D235" s="38"/>
      <c r="E235" s="38"/>
      <c r="F235" s="43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8"/>
      <c r="AJ235" s="38"/>
      <c r="AK235" s="38"/>
      <c r="AL235" s="38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  <c r="BA235" s="38"/>
      <c r="BB235" s="38"/>
      <c r="BC235" s="38"/>
      <c r="BD235" s="38"/>
      <c r="BE235" s="38"/>
      <c r="BF235" s="38"/>
      <c r="BG235" s="38"/>
      <c r="BH235" s="38"/>
      <c r="BI235" s="38"/>
      <c r="BJ235" s="38"/>
      <c r="BK235" s="38"/>
      <c r="BL235" s="38"/>
      <c r="BM235" s="38"/>
      <c r="BN235" s="38"/>
      <c r="BO235" s="38"/>
      <c r="BP235" s="38"/>
      <c r="BQ235" s="38"/>
      <c r="BR235" s="38"/>
    </row>
    <row r="236" spans="1:70">
      <c r="A236" s="38"/>
      <c r="B236" s="38"/>
      <c r="C236" s="43"/>
      <c r="D236" s="38"/>
      <c r="E236" s="38"/>
      <c r="F236" s="43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8"/>
      <c r="AJ236" s="38"/>
      <c r="AK236" s="38"/>
      <c r="AL236" s="38"/>
      <c r="AM236" s="38"/>
      <c r="AN236" s="38"/>
      <c r="AO236" s="38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38"/>
      <c r="BE236" s="38"/>
      <c r="BF236" s="38"/>
      <c r="BG236" s="38"/>
      <c r="BH236" s="38"/>
      <c r="BI236" s="38"/>
      <c r="BJ236" s="38"/>
      <c r="BK236" s="38"/>
      <c r="BL236" s="38"/>
      <c r="BM236" s="38"/>
      <c r="BN236" s="38"/>
      <c r="BO236" s="38"/>
      <c r="BP236" s="38"/>
      <c r="BQ236" s="38"/>
      <c r="BR236" s="38"/>
    </row>
    <row r="237" spans="1:70">
      <c r="A237" s="38"/>
      <c r="B237" s="38"/>
      <c r="C237" s="43"/>
      <c r="D237" s="38"/>
      <c r="E237" s="38"/>
      <c r="F237" s="43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  <c r="BA237" s="38"/>
      <c r="BB237" s="38"/>
      <c r="BC237" s="38"/>
      <c r="BD237" s="38"/>
      <c r="BE237" s="38"/>
      <c r="BF237" s="38"/>
      <c r="BG237" s="38"/>
      <c r="BH237" s="38"/>
      <c r="BI237" s="38"/>
      <c r="BJ237" s="38"/>
      <c r="BK237" s="38"/>
      <c r="BL237" s="38"/>
      <c r="BM237" s="38"/>
      <c r="BN237" s="38"/>
      <c r="BO237" s="38"/>
      <c r="BP237" s="38"/>
      <c r="BQ237" s="38"/>
      <c r="BR237" s="38"/>
    </row>
    <row r="238" spans="1:70">
      <c r="A238" s="38"/>
      <c r="B238" s="38"/>
      <c r="C238" s="43"/>
      <c r="D238" s="38"/>
      <c r="E238" s="38"/>
      <c r="F238" s="43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8"/>
      <c r="AJ238" s="38"/>
      <c r="AK238" s="38"/>
      <c r="AL238" s="38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  <c r="BA238" s="38"/>
      <c r="BB238" s="38"/>
      <c r="BC238" s="38"/>
      <c r="BD238" s="38"/>
      <c r="BE238" s="38"/>
      <c r="BF238" s="38"/>
      <c r="BG238" s="38"/>
      <c r="BH238" s="38"/>
      <c r="BI238" s="38"/>
      <c r="BJ238" s="38"/>
      <c r="BK238" s="38"/>
      <c r="BL238" s="38"/>
      <c r="BM238" s="38"/>
      <c r="BN238" s="38"/>
      <c r="BO238" s="38"/>
      <c r="BP238" s="38"/>
      <c r="BQ238" s="38"/>
      <c r="BR238" s="38"/>
    </row>
    <row r="239" spans="1:70">
      <c r="A239" s="38"/>
      <c r="B239" s="38"/>
      <c r="C239" s="43"/>
      <c r="D239" s="38"/>
      <c r="E239" s="38"/>
      <c r="F239" s="43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8"/>
      <c r="AN239" s="38"/>
      <c r="AO239" s="38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  <c r="BA239" s="38"/>
      <c r="BB239" s="38"/>
      <c r="BC239" s="38"/>
      <c r="BD239" s="38"/>
      <c r="BE239" s="38"/>
      <c r="BF239" s="38"/>
      <c r="BG239" s="38"/>
      <c r="BH239" s="38"/>
      <c r="BI239" s="38"/>
      <c r="BJ239" s="38"/>
      <c r="BK239" s="38"/>
      <c r="BL239" s="38"/>
      <c r="BM239" s="38"/>
      <c r="BN239" s="38"/>
      <c r="BO239" s="38"/>
      <c r="BP239" s="38"/>
      <c r="BQ239" s="38"/>
      <c r="BR239" s="38"/>
    </row>
    <row r="240" spans="1:70">
      <c r="A240" s="38"/>
      <c r="B240" s="38"/>
      <c r="C240" s="43"/>
      <c r="D240" s="38"/>
      <c r="E240" s="38"/>
      <c r="F240" s="43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  <c r="BA240" s="38"/>
      <c r="BB240" s="38"/>
      <c r="BC240" s="38"/>
      <c r="BD240" s="38"/>
      <c r="BE240" s="38"/>
      <c r="BF240" s="38"/>
      <c r="BG240" s="38"/>
      <c r="BH240" s="38"/>
      <c r="BI240" s="38"/>
      <c r="BJ240" s="38"/>
      <c r="BK240" s="38"/>
      <c r="BL240" s="38"/>
      <c r="BM240" s="38"/>
      <c r="BN240" s="38"/>
      <c r="BO240" s="38"/>
      <c r="BP240" s="38"/>
      <c r="BQ240" s="38"/>
      <c r="BR240" s="38"/>
    </row>
    <row r="241" spans="1:70">
      <c r="A241" s="38"/>
      <c r="B241" s="38"/>
      <c r="C241" s="43"/>
      <c r="D241" s="38"/>
      <c r="E241" s="38"/>
      <c r="F241" s="43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8"/>
      <c r="AJ241" s="38"/>
      <c r="AK241" s="38"/>
      <c r="AL241" s="38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  <c r="BA241" s="38"/>
      <c r="BB241" s="38"/>
      <c r="BC241" s="38"/>
      <c r="BD241" s="38"/>
      <c r="BE241" s="38"/>
      <c r="BF241" s="38"/>
      <c r="BG241" s="38"/>
      <c r="BH241" s="38"/>
      <c r="BI241" s="38"/>
      <c r="BJ241" s="38"/>
      <c r="BK241" s="38"/>
      <c r="BL241" s="38"/>
      <c r="BM241" s="38"/>
      <c r="BN241" s="38"/>
      <c r="BO241" s="38"/>
      <c r="BP241" s="38"/>
      <c r="BQ241" s="38"/>
      <c r="BR241" s="38"/>
    </row>
    <row r="242" spans="1:70">
      <c r="A242" s="38"/>
      <c r="B242" s="38"/>
      <c r="C242" s="43"/>
      <c r="D242" s="38"/>
      <c r="E242" s="38"/>
      <c r="F242" s="43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  <c r="BA242" s="38"/>
      <c r="BB242" s="38"/>
      <c r="BC242" s="38"/>
      <c r="BD242" s="38"/>
      <c r="BE242" s="38"/>
      <c r="BF242" s="38"/>
      <c r="BG242" s="38"/>
      <c r="BH242" s="38"/>
      <c r="BI242" s="38"/>
      <c r="BJ242" s="38"/>
      <c r="BK242" s="38"/>
      <c r="BL242" s="38"/>
      <c r="BM242" s="38"/>
      <c r="BN242" s="38"/>
      <c r="BO242" s="38"/>
      <c r="BP242" s="38"/>
      <c r="BQ242" s="38"/>
      <c r="BR242" s="38"/>
    </row>
    <row r="243" spans="1:70">
      <c r="A243" s="38"/>
      <c r="B243" s="38"/>
      <c r="C243" s="43"/>
      <c r="D243" s="38"/>
      <c r="E243" s="38"/>
      <c r="F243" s="43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</row>
    <row r="244" spans="1:70">
      <c r="A244" s="38"/>
      <c r="B244" s="38"/>
      <c r="C244" s="43"/>
      <c r="D244" s="38"/>
      <c r="E244" s="38"/>
      <c r="F244" s="43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/>
      <c r="BK244" s="38"/>
      <c r="BL244" s="38"/>
      <c r="BM244" s="38"/>
      <c r="BN244" s="38"/>
      <c r="BO244" s="38"/>
      <c r="BP244" s="38"/>
      <c r="BQ244" s="38"/>
      <c r="BR244" s="38"/>
    </row>
    <row r="245" spans="1:70">
      <c r="A245" s="38"/>
      <c r="B245" s="38"/>
      <c r="C245" s="43"/>
      <c r="D245" s="38"/>
      <c r="E245" s="38"/>
      <c r="F245" s="43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8"/>
      <c r="AN245" s="38"/>
      <c r="AO245" s="38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  <c r="BA245" s="38"/>
      <c r="BB245" s="38"/>
      <c r="BC245" s="38"/>
      <c r="BD245" s="38"/>
      <c r="BE245" s="38"/>
      <c r="BF245" s="38"/>
      <c r="BG245" s="38"/>
      <c r="BH245" s="38"/>
      <c r="BI245" s="38"/>
      <c r="BJ245" s="38"/>
      <c r="BK245" s="38"/>
      <c r="BL245" s="38"/>
      <c r="BM245" s="38"/>
      <c r="BN245" s="38"/>
      <c r="BO245" s="38"/>
      <c r="BP245" s="38"/>
      <c r="BQ245" s="38"/>
      <c r="BR245" s="38"/>
    </row>
    <row r="246" spans="1:70">
      <c r="A246" s="38"/>
      <c r="B246" s="38"/>
      <c r="C246" s="43"/>
      <c r="D246" s="38"/>
      <c r="E246" s="38"/>
      <c r="F246" s="43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  <c r="BA246" s="38"/>
      <c r="BB246" s="38"/>
      <c r="BC246" s="38"/>
      <c r="BD246" s="38"/>
      <c r="BE246" s="38"/>
      <c r="BF246" s="38"/>
      <c r="BG246" s="38"/>
      <c r="BH246" s="38"/>
      <c r="BI246" s="38"/>
      <c r="BJ246" s="38"/>
      <c r="BK246" s="38"/>
      <c r="BL246" s="38"/>
      <c r="BM246" s="38"/>
      <c r="BN246" s="38"/>
      <c r="BO246" s="38"/>
      <c r="BP246" s="38"/>
      <c r="BQ246" s="38"/>
      <c r="BR246" s="38"/>
    </row>
    <row r="247" spans="1:70">
      <c r="A247" s="38"/>
      <c r="B247" s="38"/>
      <c r="C247" s="43"/>
      <c r="D247" s="38"/>
      <c r="E247" s="38"/>
      <c r="F247" s="43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  <c r="BA247" s="38"/>
      <c r="BB247" s="38"/>
      <c r="BC247" s="38"/>
      <c r="BD247" s="38"/>
      <c r="BE247" s="38"/>
      <c r="BF247" s="38"/>
      <c r="BG247" s="38"/>
      <c r="BH247" s="38"/>
      <c r="BI247" s="38"/>
      <c r="BJ247" s="38"/>
      <c r="BK247" s="38"/>
      <c r="BL247" s="38"/>
      <c r="BM247" s="38"/>
      <c r="BN247" s="38"/>
      <c r="BO247" s="38"/>
      <c r="BP247" s="38"/>
      <c r="BQ247" s="38"/>
      <c r="BR247" s="38"/>
    </row>
    <row r="248" spans="1:70">
      <c r="A248" s="38"/>
      <c r="B248" s="38"/>
      <c r="C248" s="43"/>
      <c r="D248" s="38"/>
      <c r="E248" s="38"/>
      <c r="F248" s="43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  <c r="BA248" s="38"/>
      <c r="BB248" s="38"/>
      <c r="BC248" s="38"/>
      <c r="BD248" s="38"/>
      <c r="BE248" s="38"/>
      <c r="BF248" s="38"/>
      <c r="BG248" s="38"/>
      <c r="BH248" s="38"/>
      <c r="BI248" s="38"/>
      <c r="BJ248" s="38"/>
      <c r="BK248" s="38"/>
      <c r="BL248" s="38"/>
      <c r="BM248" s="38"/>
      <c r="BN248" s="38"/>
      <c r="BO248" s="38"/>
      <c r="BP248" s="38"/>
      <c r="BQ248" s="38"/>
      <c r="BR248" s="38"/>
    </row>
    <row r="249" spans="1:70">
      <c r="A249" s="38"/>
      <c r="B249" s="38"/>
      <c r="C249" s="43"/>
      <c r="D249" s="38"/>
      <c r="E249" s="38"/>
      <c r="F249" s="43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  <c r="BA249" s="38"/>
      <c r="BB249" s="38"/>
      <c r="BC249" s="38"/>
      <c r="BD249" s="38"/>
      <c r="BE249" s="38"/>
      <c r="BF249" s="38"/>
      <c r="BG249" s="38"/>
      <c r="BH249" s="38"/>
      <c r="BI249" s="38"/>
      <c r="BJ249" s="38"/>
      <c r="BK249" s="38"/>
      <c r="BL249" s="38"/>
      <c r="BM249" s="38"/>
      <c r="BN249" s="38"/>
      <c r="BO249" s="38"/>
      <c r="BP249" s="38"/>
      <c r="BQ249" s="38"/>
      <c r="BR249" s="38"/>
    </row>
    <row r="250" spans="1:70">
      <c r="A250" s="38"/>
      <c r="B250" s="38"/>
      <c r="C250" s="43"/>
      <c r="D250" s="38"/>
      <c r="E250" s="38"/>
      <c r="F250" s="43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8"/>
      <c r="AJ250" s="38"/>
      <c r="AK250" s="38"/>
      <c r="AL250" s="38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  <c r="BA250" s="38"/>
      <c r="BB250" s="38"/>
      <c r="BC250" s="38"/>
      <c r="BD250" s="38"/>
      <c r="BE250" s="38"/>
      <c r="BF250" s="38"/>
      <c r="BG250" s="38"/>
      <c r="BH250" s="38"/>
      <c r="BI250" s="38"/>
      <c r="BJ250" s="38"/>
      <c r="BK250" s="38"/>
      <c r="BL250" s="38"/>
      <c r="BM250" s="38"/>
      <c r="BN250" s="38"/>
      <c r="BO250" s="38"/>
      <c r="BP250" s="38"/>
      <c r="BQ250" s="38"/>
      <c r="BR250" s="38"/>
    </row>
    <row r="251" spans="1:70">
      <c r="A251" s="38"/>
      <c r="B251" s="38"/>
      <c r="C251" s="43"/>
      <c r="D251" s="38"/>
      <c r="E251" s="38"/>
      <c r="F251" s="43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  <c r="BA251" s="38"/>
      <c r="BB251" s="38"/>
      <c r="BC251" s="38"/>
      <c r="BD251" s="38"/>
      <c r="BE251" s="38"/>
      <c r="BF251" s="38"/>
      <c r="BG251" s="38"/>
      <c r="BH251" s="38"/>
      <c r="BI251" s="38"/>
      <c r="BJ251" s="38"/>
      <c r="BK251" s="38"/>
      <c r="BL251" s="38"/>
      <c r="BM251" s="38"/>
      <c r="BN251" s="38"/>
      <c r="BO251" s="38"/>
      <c r="BP251" s="38"/>
      <c r="BQ251" s="38"/>
      <c r="BR251" s="38"/>
    </row>
    <row r="252" spans="1:70">
      <c r="A252" s="38"/>
      <c r="B252" s="38"/>
      <c r="C252" s="43"/>
      <c r="D252" s="38"/>
      <c r="E252" s="38"/>
      <c r="F252" s="43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38"/>
      <c r="BE252" s="38"/>
      <c r="BF252" s="38"/>
      <c r="BG252" s="38"/>
      <c r="BH252" s="38"/>
      <c r="BI252" s="38"/>
      <c r="BJ252" s="38"/>
      <c r="BK252" s="38"/>
      <c r="BL252" s="38"/>
      <c r="BM252" s="38"/>
      <c r="BN252" s="38"/>
      <c r="BO252" s="38"/>
      <c r="BP252" s="38"/>
      <c r="BQ252" s="38"/>
      <c r="BR252" s="38"/>
    </row>
    <row r="253" spans="1:70">
      <c r="A253" s="38"/>
      <c r="B253" s="38"/>
      <c r="C253" s="43"/>
      <c r="D253" s="38"/>
      <c r="E253" s="38"/>
      <c r="F253" s="43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8"/>
      <c r="AJ253" s="38"/>
      <c r="AK253" s="38"/>
      <c r="AL253" s="38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  <c r="BA253" s="38"/>
      <c r="BB253" s="38"/>
      <c r="BC253" s="38"/>
      <c r="BD253" s="38"/>
      <c r="BE253" s="38"/>
      <c r="BF253" s="38"/>
      <c r="BG253" s="38"/>
      <c r="BH253" s="38"/>
      <c r="BI253" s="38"/>
      <c r="BJ253" s="38"/>
      <c r="BK253" s="38"/>
      <c r="BL253" s="38"/>
      <c r="BM253" s="38"/>
      <c r="BN253" s="38"/>
      <c r="BO253" s="38"/>
      <c r="BP253" s="38"/>
      <c r="BQ253" s="38"/>
      <c r="BR253" s="38"/>
    </row>
    <row r="254" spans="1:70">
      <c r="A254" s="38"/>
      <c r="B254" s="38"/>
      <c r="C254" s="43"/>
      <c r="D254" s="38"/>
      <c r="E254" s="38"/>
      <c r="F254" s="43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8"/>
      <c r="AJ254" s="38"/>
      <c r="AK254" s="38"/>
      <c r="AL254" s="38"/>
      <c r="AM254" s="38"/>
      <c r="AN254" s="38"/>
      <c r="AO254" s="38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  <c r="BA254" s="38"/>
      <c r="BB254" s="38"/>
      <c r="BC254" s="38"/>
      <c r="BD254" s="38"/>
      <c r="BE254" s="38"/>
      <c r="BF254" s="38"/>
      <c r="BG254" s="38"/>
      <c r="BH254" s="38"/>
      <c r="BI254" s="38"/>
      <c r="BJ254" s="38"/>
      <c r="BK254" s="38"/>
      <c r="BL254" s="38"/>
      <c r="BM254" s="38"/>
      <c r="BN254" s="38"/>
      <c r="BO254" s="38"/>
      <c r="BP254" s="38"/>
      <c r="BQ254" s="38"/>
      <c r="BR254" s="38"/>
    </row>
    <row r="255" spans="1:70">
      <c r="A255" s="38"/>
      <c r="B255" s="38"/>
      <c r="C255" s="43"/>
      <c r="D255" s="38"/>
      <c r="E255" s="38"/>
      <c r="F255" s="43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  <c r="BA255" s="38"/>
      <c r="BB255" s="38"/>
      <c r="BC255" s="38"/>
      <c r="BD255" s="38"/>
      <c r="BE255" s="38"/>
      <c r="BF255" s="38"/>
      <c r="BG255" s="38"/>
      <c r="BH255" s="38"/>
      <c r="BI255" s="38"/>
      <c r="BJ255" s="38"/>
      <c r="BK255" s="38"/>
      <c r="BL255" s="38"/>
      <c r="BM255" s="38"/>
      <c r="BN255" s="38"/>
      <c r="BO255" s="38"/>
      <c r="BP255" s="38"/>
      <c r="BQ255" s="38"/>
      <c r="BR255" s="38"/>
    </row>
    <row r="256" spans="1:70">
      <c r="A256" s="38"/>
      <c r="B256" s="38"/>
      <c r="C256" s="43"/>
      <c r="D256" s="38"/>
      <c r="E256" s="38"/>
      <c r="F256" s="43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8"/>
      <c r="AJ256" s="38"/>
      <c r="AK256" s="38"/>
      <c r="AL256" s="38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  <c r="BA256" s="38"/>
      <c r="BB256" s="38"/>
      <c r="BC256" s="38"/>
      <c r="BD256" s="38"/>
      <c r="BE256" s="38"/>
      <c r="BF256" s="38"/>
      <c r="BG256" s="38"/>
      <c r="BH256" s="38"/>
      <c r="BI256" s="38"/>
      <c r="BJ256" s="38"/>
      <c r="BK256" s="38"/>
      <c r="BL256" s="38"/>
      <c r="BM256" s="38"/>
      <c r="BN256" s="38"/>
      <c r="BO256" s="38"/>
      <c r="BP256" s="38"/>
      <c r="BQ256" s="38"/>
      <c r="BR256" s="38"/>
    </row>
    <row r="257" spans="1:70">
      <c r="A257" s="38"/>
      <c r="B257" s="38"/>
      <c r="C257" s="43"/>
      <c r="D257" s="38"/>
      <c r="E257" s="38"/>
      <c r="F257" s="43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</row>
    <row r="258" spans="1:70">
      <c r="A258" s="38"/>
      <c r="B258" s="38"/>
      <c r="C258" s="43"/>
      <c r="D258" s="38"/>
      <c r="E258" s="38"/>
      <c r="F258" s="43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</row>
    <row r="259" spans="1:70">
      <c r="A259" s="38"/>
      <c r="B259" s="38"/>
      <c r="C259" s="43"/>
      <c r="D259" s="38"/>
      <c r="E259" s="38"/>
      <c r="F259" s="43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</row>
    <row r="260" spans="1:70">
      <c r="A260" s="38"/>
      <c r="B260" s="38"/>
      <c r="C260" s="43"/>
      <c r="D260" s="38"/>
      <c r="E260" s="38"/>
      <c r="F260" s="43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8"/>
      <c r="AJ260" s="38"/>
      <c r="AK260" s="38"/>
      <c r="AL260" s="38"/>
      <c r="AM260" s="38"/>
      <c r="AN260" s="38"/>
      <c r="AO260" s="38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  <c r="BA260" s="38"/>
      <c r="BB260" s="38"/>
      <c r="BC260" s="38"/>
      <c r="BD260" s="38"/>
      <c r="BE260" s="38"/>
      <c r="BF260" s="38"/>
      <c r="BG260" s="38"/>
      <c r="BH260" s="38"/>
      <c r="BI260" s="38"/>
      <c r="BJ260" s="38"/>
      <c r="BK260" s="38"/>
      <c r="BL260" s="38"/>
      <c r="BM260" s="38"/>
      <c r="BN260" s="38"/>
      <c r="BO260" s="38"/>
      <c r="BP260" s="38"/>
      <c r="BQ260" s="38"/>
      <c r="BR260" s="38"/>
    </row>
    <row r="261" spans="1:70">
      <c r="A261" s="38"/>
      <c r="B261" s="38"/>
      <c r="C261" s="43"/>
      <c r="D261" s="38"/>
      <c r="E261" s="38"/>
      <c r="F261" s="43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8"/>
      <c r="AJ261" s="38"/>
      <c r="AK261" s="38"/>
      <c r="AL261" s="38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  <c r="BA261" s="38"/>
      <c r="BB261" s="38"/>
      <c r="BC261" s="38"/>
      <c r="BD261" s="38"/>
      <c r="BE261" s="38"/>
      <c r="BF261" s="38"/>
      <c r="BG261" s="38"/>
      <c r="BH261" s="38"/>
      <c r="BI261" s="38"/>
      <c r="BJ261" s="38"/>
      <c r="BK261" s="38"/>
      <c r="BL261" s="38"/>
      <c r="BM261" s="38"/>
      <c r="BN261" s="38"/>
      <c r="BO261" s="38"/>
      <c r="BP261" s="38"/>
      <c r="BQ261" s="38"/>
      <c r="BR261" s="38"/>
    </row>
    <row r="262" spans="1:70">
      <c r="A262" s="38"/>
      <c r="B262" s="38"/>
      <c r="C262" s="43"/>
      <c r="D262" s="38"/>
      <c r="E262" s="38"/>
      <c r="F262" s="43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  <c r="BA262" s="38"/>
      <c r="BB262" s="38"/>
      <c r="BC262" s="38"/>
      <c r="BD262" s="38"/>
      <c r="BE262" s="38"/>
      <c r="BF262" s="38"/>
      <c r="BG262" s="38"/>
      <c r="BH262" s="38"/>
      <c r="BI262" s="38"/>
      <c r="BJ262" s="38"/>
      <c r="BK262" s="38"/>
      <c r="BL262" s="38"/>
      <c r="BM262" s="38"/>
      <c r="BN262" s="38"/>
      <c r="BO262" s="38"/>
      <c r="BP262" s="38"/>
      <c r="BQ262" s="38"/>
      <c r="BR262" s="38"/>
    </row>
    <row r="263" spans="1:70">
      <c r="A263" s="38"/>
      <c r="B263" s="38"/>
      <c r="C263" s="43"/>
      <c r="D263" s="38"/>
      <c r="E263" s="38"/>
      <c r="F263" s="43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38"/>
      <c r="BE263" s="38"/>
      <c r="BF263" s="38"/>
      <c r="BG263" s="38"/>
      <c r="BH263" s="38"/>
      <c r="BI263" s="38"/>
      <c r="BJ263" s="38"/>
      <c r="BK263" s="38"/>
      <c r="BL263" s="38"/>
      <c r="BM263" s="38"/>
      <c r="BN263" s="38"/>
      <c r="BO263" s="38"/>
      <c r="BP263" s="38"/>
      <c r="BQ263" s="38"/>
      <c r="BR263" s="38"/>
    </row>
    <row r="264" spans="1:70">
      <c r="A264" s="38"/>
      <c r="B264" s="38"/>
      <c r="C264" s="43"/>
      <c r="D264" s="38"/>
      <c r="E264" s="38"/>
      <c r="F264" s="43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8"/>
      <c r="AJ264" s="38"/>
      <c r="AK264" s="38"/>
      <c r="AL264" s="38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  <c r="BA264" s="38"/>
      <c r="BB264" s="38"/>
      <c r="BC264" s="38"/>
      <c r="BD264" s="38"/>
      <c r="BE264" s="38"/>
      <c r="BF264" s="38"/>
      <c r="BG264" s="38"/>
      <c r="BH264" s="38"/>
      <c r="BI264" s="38"/>
      <c r="BJ264" s="38"/>
      <c r="BK264" s="38"/>
      <c r="BL264" s="38"/>
      <c r="BM264" s="38"/>
      <c r="BN264" s="38"/>
      <c r="BO264" s="38"/>
      <c r="BP264" s="38"/>
      <c r="BQ264" s="38"/>
      <c r="BR264" s="38"/>
    </row>
    <row r="265" spans="1:70">
      <c r="A265" s="38"/>
      <c r="B265" s="38"/>
      <c r="C265" s="43"/>
      <c r="D265" s="38"/>
      <c r="E265" s="38"/>
      <c r="F265" s="43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  <c r="BA265" s="38"/>
      <c r="BB265" s="38"/>
      <c r="BC265" s="38"/>
      <c r="BD265" s="38"/>
      <c r="BE265" s="38"/>
      <c r="BF265" s="38"/>
      <c r="BG265" s="38"/>
      <c r="BH265" s="38"/>
      <c r="BI265" s="38"/>
      <c r="BJ265" s="38"/>
      <c r="BK265" s="38"/>
      <c r="BL265" s="38"/>
      <c r="BM265" s="38"/>
      <c r="BN265" s="38"/>
      <c r="BO265" s="38"/>
      <c r="BP265" s="38"/>
      <c r="BQ265" s="38"/>
      <c r="BR265" s="38"/>
    </row>
    <row r="266" spans="1:70">
      <c r="A266" s="38"/>
      <c r="B266" s="38"/>
      <c r="C266" s="43"/>
      <c r="D266" s="38"/>
      <c r="E266" s="38"/>
      <c r="F266" s="43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8"/>
      <c r="AJ266" s="38"/>
      <c r="AK266" s="38"/>
      <c r="AL266" s="38"/>
      <c r="AM266" s="38"/>
      <c r="AN266" s="38"/>
      <c r="AO266" s="38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  <c r="BA266" s="38"/>
      <c r="BB266" s="38"/>
      <c r="BC266" s="38"/>
      <c r="BD266" s="38"/>
      <c r="BE266" s="38"/>
      <c r="BF266" s="38"/>
      <c r="BG266" s="38"/>
      <c r="BH266" s="38"/>
      <c r="BI266" s="38"/>
      <c r="BJ266" s="38"/>
      <c r="BK266" s="38"/>
      <c r="BL266" s="38"/>
      <c r="BM266" s="38"/>
      <c r="BN266" s="38"/>
      <c r="BO266" s="38"/>
      <c r="BP266" s="38"/>
      <c r="BQ266" s="38"/>
      <c r="BR266" s="38"/>
    </row>
    <row r="267" spans="1:70">
      <c r="A267" s="38"/>
      <c r="B267" s="38"/>
      <c r="C267" s="43"/>
      <c r="D267" s="38"/>
      <c r="E267" s="38"/>
      <c r="F267" s="43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8"/>
      <c r="AJ267" s="38"/>
      <c r="AK267" s="38"/>
      <c r="AL267" s="38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  <c r="BA267" s="38"/>
      <c r="BB267" s="38"/>
      <c r="BC267" s="38"/>
      <c r="BD267" s="38"/>
      <c r="BE267" s="38"/>
      <c r="BF267" s="38"/>
      <c r="BG267" s="38"/>
      <c r="BH267" s="38"/>
      <c r="BI267" s="38"/>
      <c r="BJ267" s="38"/>
      <c r="BK267" s="38"/>
      <c r="BL267" s="38"/>
      <c r="BM267" s="38"/>
      <c r="BN267" s="38"/>
      <c r="BO267" s="38"/>
      <c r="BP267" s="38"/>
      <c r="BQ267" s="38"/>
      <c r="BR267" s="38"/>
    </row>
    <row r="268" spans="1:70">
      <c r="A268" s="38"/>
      <c r="B268" s="38"/>
      <c r="C268" s="43"/>
      <c r="D268" s="38"/>
      <c r="E268" s="38"/>
      <c r="F268" s="43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  <c r="BA268" s="38"/>
      <c r="BB268" s="38"/>
      <c r="BC268" s="38"/>
      <c r="BD268" s="38"/>
      <c r="BE268" s="38"/>
      <c r="BF268" s="38"/>
      <c r="BG268" s="38"/>
      <c r="BH268" s="38"/>
      <c r="BI268" s="38"/>
      <c r="BJ268" s="38"/>
      <c r="BK268" s="38"/>
      <c r="BL268" s="38"/>
      <c r="BM268" s="38"/>
      <c r="BN268" s="38"/>
      <c r="BO268" s="38"/>
      <c r="BP268" s="38"/>
      <c r="BQ268" s="38"/>
      <c r="BR268" s="38"/>
    </row>
    <row r="269" spans="1:70">
      <c r="A269" s="38"/>
      <c r="B269" s="38"/>
      <c r="C269" s="43"/>
      <c r="D269" s="38"/>
      <c r="E269" s="38"/>
      <c r="F269" s="43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  <c r="BA269" s="38"/>
      <c r="BB269" s="38"/>
      <c r="BC269" s="38"/>
      <c r="BD269" s="38"/>
      <c r="BE269" s="38"/>
      <c r="BF269" s="38"/>
      <c r="BG269" s="38"/>
      <c r="BH269" s="38"/>
      <c r="BI269" s="38"/>
      <c r="BJ269" s="38"/>
      <c r="BK269" s="38"/>
      <c r="BL269" s="38"/>
      <c r="BM269" s="38"/>
      <c r="BN269" s="38"/>
      <c r="BO269" s="38"/>
      <c r="BP269" s="38"/>
      <c r="BQ269" s="38"/>
      <c r="BR269" s="38"/>
    </row>
    <row r="270" spans="1:70">
      <c r="A270" s="38"/>
      <c r="B270" s="38"/>
      <c r="C270" s="43"/>
      <c r="D270" s="38"/>
      <c r="E270" s="38"/>
      <c r="F270" s="43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  <c r="BA270" s="38"/>
      <c r="BB270" s="38"/>
      <c r="BC270" s="38"/>
      <c r="BD270" s="38"/>
      <c r="BE270" s="38"/>
      <c r="BF270" s="38"/>
      <c r="BG270" s="38"/>
      <c r="BH270" s="38"/>
      <c r="BI270" s="38"/>
      <c r="BJ270" s="38"/>
      <c r="BK270" s="38"/>
      <c r="BL270" s="38"/>
      <c r="BM270" s="38"/>
      <c r="BN270" s="38"/>
      <c r="BO270" s="38"/>
      <c r="BP270" s="38"/>
      <c r="BQ270" s="38"/>
      <c r="BR270" s="38"/>
    </row>
    <row r="271" spans="1:70">
      <c r="A271" s="38"/>
      <c r="B271" s="38"/>
      <c r="C271" s="43"/>
      <c r="D271" s="38"/>
      <c r="E271" s="38"/>
      <c r="F271" s="43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8"/>
      <c r="AJ271" s="38"/>
      <c r="AK271" s="38"/>
      <c r="AL271" s="38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  <c r="BA271" s="38"/>
      <c r="BB271" s="38"/>
      <c r="BC271" s="38"/>
      <c r="BD271" s="38"/>
      <c r="BE271" s="38"/>
      <c r="BF271" s="38"/>
      <c r="BG271" s="38"/>
      <c r="BH271" s="38"/>
      <c r="BI271" s="38"/>
      <c r="BJ271" s="38"/>
      <c r="BK271" s="38"/>
      <c r="BL271" s="38"/>
      <c r="BM271" s="38"/>
      <c r="BN271" s="38"/>
      <c r="BO271" s="38"/>
      <c r="BP271" s="38"/>
      <c r="BQ271" s="38"/>
      <c r="BR271" s="38"/>
    </row>
    <row r="272" spans="1:70">
      <c r="A272" s="38"/>
      <c r="B272" s="38"/>
      <c r="C272" s="43"/>
      <c r="D272" s="38"/>
      <c r="E272" s="38"/>
      <c r="F272" s="43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8"/>
      <c r="AJ272" s="38"/>
      <c r="AK272" s="38"/>
      <c r="AL272" s="38"/>
      <c r="AM272" s="38"/>
      <c r="AN272" s="38"/>
      <c r="AO272" s="38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  <c r="BA272" s="38"/>
      <c r="BB272" s="38"/>
      <c r="BC272" s="38"/>
      <c r="BD272" s="38"/>
      <c r="BE272" s="38"/>
      <c r="BF272" s="38"/>
      <c r="BG272" s="38"/>
      <c r="BH272" s="38"/>
      <c r="BI272" s="38"/>
      <c r="BJ272" s="38"/>
      <c r="BK272" s="38"/>
      <c r="BL272" s="38"/>
      <c r="BM272" s="38"/>
      <c r="BN272" s="38"/>
      <c r="BO272" s="38"/>
      <c r="BP272" s="38"/>
      <c r="BQ272" s="38"/>
      <c r="BR272" s="38"/>
    </row>
    <row r="273" spans="1:70">
      <c r="A273" s="38"/>
      <c r="B273" s="38"/>
      <c r="C273" s="43"/>
      <c r="D273" s="38"/>
      <c r="E273" s="38"/>
      <c r="F273" s="43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8"/>
      <c r="AJ273" s="38"/>
      <c r="AK273" s="38"/>
      <c r="AL273" s="38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  <c r="BA273" s="38"/>
      <c r="BB273" s="38"/>
      <c r="BC273" s="38"/>
      <c r="BD273" s="38"/>
      <c r="BE273" s="38"/>
      <c r="BF273" s="38"/>
      <c r="BG273" s="38"/>
      <c r="BH273" s="38"/>
      <c r="BI273" s="38"/>
      <c r="BJ273" s="38"/>
      <c r="BK273" s="38"/>
      <c r="BL273" s="38"/>
      <c r="BM273" s="38"/>
      <c r="BN273" s="38"/>
      <c r="BO273" s="38"/>
      <c r="BP273" s="38"/>
      <c r="BQ273" s="38"/>
      <c r="BR273" s="38"/>
    </row>
    <row r="274" spans="1:70">
      <c r="A274" s="38"/>
      <c r="B274" s="38"/>
      <c r="C274" s="43"/>
      <c r="D274" s="38"/>
      <c r="E274" s="38"/>
      <c r="F274" s="43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8"/>
      <c r="AJ274" s="38"/>
      <c r="AK274" s="38"/>
      <c r="AL274" s="38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  <c r="BA274" s="38"/>
      <c r="BB274" s="38"/>
      <c r="BC274" s="38"/>
      <c r="BD274" s="38"/>
      <c r="BE274" s="38"/>
      <c r="BF274" s="38"/>
      <c r="BG274" s="38"/>
      <c r="BH274" s="38"/>
      <c r="BI274" s="38"/>
      <c r="BJ274" s="38"/>
      <c r="BK274" s="38"/>
      <c r="BL274" s="38"/>
      <c r="BM274" s="38"/>
      <c r="BN274" s="38"/>
      <c r="BO274" s="38"/>
      <c r="BP274" s="38"/>
      <c r="BQ274" s="38"/>
      <c r="BR274" s="38"/>
    </row>
    <row r="275" spans="1:70">
      <c r="A275" s="38"/>
      <c r="B275" s="38"/>
      <c r="C275" s="43"/>
      <c r="D275" s="38"/>
      <c r="E275" s="38"/>
      <c r="F275" s="43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  <c r="AN275" s="38"/>
      <c r="AO275" s="38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  <c r="BA275" s="38"/>
      <c r="BB275" s="38"/>
      <c r="BC275" s="38"/>
      <c r="BD275" s="38"/>
      <c r="BE275" s="38"/>
      <c r="BF275" s="38"/>
      <c r="BG275" s="38"/>
      <c r="BH275" s="38"/>
      <c r="BI275" s="38"/>
      <c r="BJ275" s="38"/>
      <c r="BK275" s="38"/>
      <c r="BL275" s="38"/>
      <c r="BM275" s="38"/>
      <c r="BN275" s="38"/>
      <c r="BO275" s="38"/>
      <c r="BP275" s="38"/>
      <c r="BQ275" s="38"/>
      <c r="BR275" s="38"/>
    </row>
    <row r="276" spans="1:70">
      <c r="A276" s="38"/>
      <c r="B276" s="38"/>
      <c r="C276" s="43"/>
      <c r="D276" s="38"/>
      <c r="E276" s="38"/>
      <c r="F276" s="43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  <c r="BA276" s="38"/>
      <c r="BB276" s="38"/>
      <c r="BC276" s="38"/>
      <c r="BD276" s="38"/>
      <c r="BE276" s="38"/>
      <c r="BF276" s="38"/>
      <c r="BG276" s="38"/>
      <c r="BH276" s="38"/>
      <c r="BI276" s="38"/>
      <c r="BJ276" s="38"/>
      <c r="BK276" s="38"/>
      <c r="BL276" s="38"/>
      <c r="BM276" s="38"/>
      <c r="BN276" s="38"/>
      <c r="BO276" s="38"/>
      <c r="BP276" s="38"/>
      <c r="BQ276" s="38"/>
      <c r="BR276" s="38"/>
    </row>
    <row r="277" spans="1:70">
      <c r="A277" s="38"/>
      <c r="B277" s="38"/>
      <c r="C277" s="43"/>
      <c r="D277" s="38"/>
      <c r="E277" s="38"/>
      <c r="F277" s="43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8"/>
      <c r="AJ277" s="38"/>
      <c r="AK277" s="38"/>
      <c r="AL277" s="38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  <c r="BA277" s="38"/>
      <c r="BB277" s="38"/>
      <c r="BC277" s="38"/>
      <c r="BD277" s="38"/>
      <c r="BE277" s="38"/>
      <c r="BF277" s="38"/>
      <c r="BG277" s="38"/>
      <c r="BH277" s="38"/>
      <c r="BI277" s="38"/>
      <c r="BJ277" s="38"/>
      <c r="BK277" s="38"/>
      <c r="BL277" s="38"/>
      <c r="BM277" s="38"/>
      <c r="BN277" s="38"/>
      <c r="BO277" s="38"/>
      <c r="BP277" s="38"/>
      <c r="BQ277" s="38"/>
      <c r="BR277" s="38"/>
    </row>
    <row r="278" spans="1:70">
      <c r="A278" s="38"/>
      <c r="B278" s="38"/>
      <c r="C278" s="43"/>
      <c r="D278" s="38"/>
      <c r="E278" s="38"/>
      <c r="F278" s="43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8"/>
      <c r="AJ278" s="38"/>
      <c r="AK278" s="38"/>
      <c r="AL278" s="38"/>
      <c r="AM278" s="38"/>
      <c r="AN278" s="38"/>
      <c r="AO278" s="38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  <c r="BA278" s="38"/>
      <c r="BB278" s="38"/>
      <c r="BC278" s="38"/>
      <c r="BD278" s="38"/>
      <c r="BE278" s="38"/>
      <c r="BF278" s="38"/>
      <c r="BG278" s="38"/>
      <c r="BH278" s="38"/>
      <c r="BI278" s="38"/>
      <c r="BJ278" s="38"/>
      <c r="BK278" s="38"/>
      <c r="BL278" s="38"/>
      <c r="BM278" s="38"/>
      <c r="BN278" s="38"/>
      <c r="BO278" s="38"/>
      <c r="BP278" s="38"/>
      <c r="BQ278" s="38"/>
      <c r="BR278" s="38"/>
    </row>
    <row r="279" spans="1:70">
      <c r="A279" s="38"/>
      <c r="B279" s="38"/>
      <c r="C279" s="43"/>
      <c r="D279" s="38"/>
      <c r="E279" s="38"/>
      <c r="F279" s="43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8"/>
      <c r="AJ279" s="38"/>
      <c r="AK279" s="38"/>
      <c r="AL279" s="38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  <c r="BA279" s="38"/>
      <c r="BB279" s="38"/>
      <c r="BC279" s="38"/>
      <c r="BD279" s="38"/>
      <c r="BE279" s="38"/>
      <c r="BF279" s="38"/>
      <c r="BG279" s="38"/>
      <c r="BH279" s="38"/>
      <c r="BI279" s="38"/>
      <c r="BJ279" s="38"/>
      <c r="BK279" s="38"/>
      <c r="BL279" s="38"/>
      <c r="BM279" s="38"/>
      <c r="BN279" s="38"/>
      <c r="BO279" s="38"/>
      <c r="BP279" s="38"/>
      <c r="BQ279" s="38"/>
      <c r="BR279" s="38"/>
    </row>
    <row r="280" spans="1:70">
      <c r="A280" s="38"/>
      <c r="B280" s="38"/>
      <c r="C280" s="43"/>
      <c r="D280" s="38"/>
      <c r="E280" s="38"/>
      <c r="F280" s="43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8"/>
      <c r="AJ280" s="38"/>
      <c r="AK280" s="38"/>
      <c r="AL280" s="38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  <c r="BA280" s="38"/>
      <c r="BB280" s="38"/>
      <c r="BC280" s="38"/>
      <c r="BD280" s="38"/>
      <c r="BE280" s="38"/>
      <c r="BF280" s="38"/>
      <c r="BG280" s="38"/>
      <c r="BH280" s="38"/>
      <c r="BI280" s="38"/>
      <c r="BJ280" s="38"/>
      <c r="BK280" s="38"/>
      <c r="BL280" s="38"/>
      <c r="BM280" s="38"/>
      <c r="BN280" s="38"/>
      <c r="BO280" s="38"/>
      <c r="BP280" s="38"/>
      <c r="BQ280" s="38"/>
      <c r="BR280" s="38"/>
    </row>
    <row r="281" spans="1:70">
      <c r="A281" s="38"/>
      <c r="B281" s="38"/>
      <c r="C281" s="43"/>
      <c r="D281" s="38"/>
      <c r="E281" s="38"/>
      <c r="F281" s="43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8"/>
      <c r="AJ281" s="38"/>
      <c r="AK281" s="38"/>
      <c r="AL281" s="38"/>
      <c r="AM281" s="38"/>
      <c r="AN281" s="38"/>
      <c r="AO281" s="38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  <c r="BA281" s="38"/>
      <c r="BB281" s="38"/>
      <c r="BC281" s="38"/>
      <c r="BD281" s="38"/>
      <c r="BE281" s="38"/>
      <c r="BF281" s="38"/>
      <c r="BG281" s="38"/>
      <c r="BH281" s="38"/>
      <c r="BI281" s="38"/>
      <c r="BJ281" s="38"/>
      <c r="BK281" s="38"/>
      <c r="BL281" s="38"/>
      <c r="BM281" s="38"/>
      <c r="BN281" s="38"/>
      <c r="BO281" s="38"/>
      <c r="BP281" s="38"/>
      <c r="BQ281" s="38"/>
      <c r="BR281" s="38"/>
    </row>
    <row r="282" spans="1:70">
      <c r="A282" s="38"/>
      <c r="B282" s="38"/>
      <c r="C282" s="43"/>
      <c r="D282" s="38"/>
      <c r="E282" s="38"/>
      <c r="F282" s="43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8"/>
      <c r="AJ282" s="38"/>
      <c r="AK282" s="38"/>
      <c r="AL282" s="38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  <c r="BA282" s="38"/>
      <c r="BB282" s="38"/>
      <c r="BC282" s="38"/>
      <c r="BD282" s="38"/>
      <c r="BE282" s="38"/>
      <c r="BF282" s="38"/>
      <c r="BG282" s="38"/>
      <c r="BH282" s="38"/>
      <c r="BI282" s="38"/>
      <c r="BJ282" s="38"/>
      <c r="BK282" s="38"/>
      <c r="BL282" s="38"/>
      <c r="BM282" s="38"/>
      <c r="BN282" s="38"/>
      <c r="BO282" s="38"/>
      <c r="BP282" s="38"/>
      <c r="BQ282" s="38"/>
      <c r="BR282" s="38"/>
    </row>
    <row r="283" spans="1:70">
      <c r="A283" s="38"/>
      <c r="B283" s="38"/>
      <c r="C283" s="43"/>
      <c r="D283" s="38"/>
      <c r="E283" s="38"/>
      <c r="F283" s="43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8"/>
      <c r="AJ283" s="38"/>
      <c r="AK283" s="38"/>
      <c r="AL283" s="38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  <c r="BA283" s="38"/>
      <c r="BB283" s="38"/>
      <c r="BC283" s="38"/>
      <c r="BD283" s="38"/>
      <c r="BE283" s="38"/>
      <c r="BF283" s="38"/>
      <c r="BG283" s="38"/>
      <c r="BH283" s="38"/>
      <c r="BI283" s="38"/>
      <c r="BJ283" s="38"/>
      <c r="BK283" s="38"/>
      <c r="BL283" s="38"/>
      <c r="BM283" s="38"/>
      <c r="BN283" s="38"/>
      <c r="BO283" s="38"/>
      <c r="BP283" s="38"/>
      <c r="BQ283" s="38"/>
      <c r="BR283" s="38"/>
    </row>
    <row r="284" spans="1:70">
      <c r="A284" s="38"/>
      <c r="B284" s="38"/>
      <c r="C284" s="43"/>
      <c r="D284" s="38"/>
      <c r="E284" s="38"/>
      <c r="F284" s="43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8"/>
      <c r="AJ284" s="38"/>
      <c r="AK284" s="38"/>
      <c r="AL284" s="38"/>
      <c r="AM284" s="38"/>
      <c r="AN284" s="38"/>
      <c r="AO284" s="38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  <c r="BA284" s="38"/>
      <c r="BB284" s="38"/>
      <c r="BC284" s="38"/>
      <c r="BD284" s="38"/>
      <c r="BE284" s="38"/>
      <c r="BF284" s="38"/>
      <c r="BG284" s="38"/>
      <c r="BH284" s="38"/>
      <c r="BI284" s="38"/>
      <c r="BJ284" s="38"/>
      <c r="BK284" s="38"/>
      <c r="BL284" s="38"/>
      <c r="BM284" s="38"/>
      <c r="BN284" s="38"/>
      <c r="BO284" s="38"/>
      <c r="BP284" s="38"/>
      <c r="BQ284" s="38"/>
      <c r="BR284" s="38"/>
    </row>
    <row r="285" spans="1:70">
      <c r="A285" s="38"/>
      <c r="B285" s="38"/>
      <c r="C285" s="43"/>
      <c r="D285" s="38"/>
      <c r="E285" s="38"/>
      <c r="F285" s="43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8"/>
      <c r="AJ285" s="38"/>
      <c r="AK285" s="38"/>
      <c r="AL285" s="38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  <c r="BA285" s="38"/>
      <c r="BB285" s="38"/>
      <c r="BC285" s="38"/>
      <c r="BD285" s="38"/>
      <c r="BE285" s="38"/>
      <c r="BF285" s="38"/>
      <c r="BG285" s="38"/>
      <c r="BH285" s="38"/>
      <c r="BI285" s="38"/>
      <c r="BJ285" s="38"/>
      <c r="BK285" s="38"/>
      <c r="BL285" s="38"/>
      <c r="BM285" s="38"/>
      <c r="BN285" s="38"/>
      <c r="BO285" s="38"/>
      <c r="BP285" s="38"/>
      <c r="BQ285" s="38"/>
      <c r="BR285" s="38"/>
    </row>
    <row r="286" spans="1:70">
      <c r="A286" s="38"/>
      <c r="B286" s="38"/>
      <c r="C286" s="43"/>
      <c r="D286" s="38"/>
      <c r="E286" s="38"/>
      <c r="F286" s="43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8"/>
      <c r="AJ286" s="38"/>
      <c r="AK286" s="38"/>
      <c r="AL286" s="38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  <c r="BA286" s="38"/>
      <c r="BB286" s="38"/>
      <c r="BC286" s="38"/>
      <c r="BD286" s="38"/>
      <c r="BE286" s="38"/>
      <c r="BF286" s="38"/>
      <c r="BG286" s="38"/>
      <c r="BH286" s="38"/>
      <c r="BI286" s="38"/>
      <c r="BJ286" s="38"/>
      <c r="BK286" s="38"/>
      <c r="BL286" s="38"/>
      <c r="BM286" s="38"/>
      <c r="BN286" s="38"/>
      <c r="BO286" s="38"/>
      <c r="BP286" s="38"/>
      <c r="BQ286" s="38"/>
      <c r="BR286" s="38"/>
    </row>
    <row r="287" spans="1:70">
      <c r="A287" s="38"/>
      <c r="B287" s="38"/>
      <c r="C287" s="43"/>
      <c r="D287" s="38"/>
      <c r="E287" s="38"/>
      <c r="F287" s="43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8"/>
      <c r="AJ287" s="38"/>
      <c r="AK287" s="38"/>
      <c r="AL287" s="38"/>
      <c r="AM287" s="38"/>
      <c r="AN287" s="38"/>
      <c r="AO287" s="38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  <c r="BA287" s="38"/>
      <c r="BB287" s="38"/>
      <c r="BC287" s="38"/>
      <c r="BD287" s="38"/>
      <c r="BE287" s="38"/>
      <c r="BF287" s="38"/>
      <c r="BG287" s="38"/>
      <c r="BH287" s="38"/>
      <c r="BI287" s="38"/>
      <c r="BJ287" s="38"/>
      <c r="BK287" s="38"/>
      <c r="BL287" s="38"/>
      <c r="BM287" s="38"/>
      <c r="BN287" s="38"/>
      <c r="BO287" s="38"/>
      <c r="BP287" s="38"/>
      <c r="BQ287" s="38"/>
      <c r="BR287" s="38"/>
    </row>
    <row r="288" spans="1:70">
      <c r="A288" s="38"/>
      <c r="B288" s="38"/>
      <c r="C288" s="43"/>
      <c r="D288" s="38"/>
      <c r="E288" s="38"/>
      <c r="F288" s="43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8"/>
      <c r="AJ288" s="38"/>
      <c r="AK288" s="38"/>
      <c r="AL288" s="38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  <c r="BA288" s="38"/>
      <c r="BB288" s="38"/>
      <c r="BC288" s="38"/>
      <c r="BD288" s="38"/>
      <c r="BE288" s="38"/>
      <c r="BF288" s="38"/>
      <c r="BG288" s="38"/>
      <c r="BH288" s="38"/>
      <c r="BI288" s="38"/>
      <c r="BJ288" s="38"/>
      <c r="BK288" s="38"/>
      <c r="BL288" s="38"/>
      <c r="BM288" s="38"/>
      <c r="BN288" s="38"/>
      <c r="BO288" s="38"/>
      <c r="BP288" s="38"/>
      <c r="BQ288" s="38"/>
      <c r="BR288" s="38"/>
    </row>
    <row r="289" spans="1:70">
      <c r="A289" s="38"/>
      <c r="B289" s="38"/>
      <c r="C289" s="43"/>
      <c r="D289" s="38"/>
      <c r="E289" s="38"/>
      <c r="F289" s="43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8"/>
      <c r="AJ289" s="38"/>
      <c r="AK289" s="38"/>
      <c r="AL289" s="38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  <c r="BA289" s="38"/>
      <c r="BB289" s="38"/>
      <c r="BC289" s="38"/>
      <c r="BD289" s="38"/>
      <c r="BE289" s="38"/>
      <c r="BF289" s="38"/>
      <c r="BG289" s="38"/>
      <c r="BH289" s="38"/>
      <c r="BI289" s="38"/>
      <c r="BJ289" s="38"/>
      <c r="BK289" s="38"/>
      <c r="BL289" s="38"/>
      <c r="BM289" s="38"/>
      <c r="BN289" s="38"/>
      <c r="BO289" s="38"/>
      <c r="BP289" s="38"/>
      <c r="BQ289" s="38"/>
      <c r="BR289" s="38"/>
    </row>
    <row r="290" spans="1:70">
      <c r="A290" s="38"/>
      <c r="B290" s="38"/>
      <c r="C290" s="43"/>
      <c r="D290" s="38"/>
      <c r="E290" s="38"/>
      <c r="F290" s="43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8"/>
      <c r="AJ290" s="38"/>
      <c r="AK290" s="38"/>
      <c r="AL290" s="38"/>
      <c r="AM290" s="38"/>
      <c r="AN290" s="38"/>
      <c r="AO290" s="38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  <c r="BA290" s="38"/>
      <c r="BB290" s="38"/>
      <c r="BC290" s="38"/>
      <c r="BD290" s="38"/>
      <c r="BE290" s="38"/>
      <c r="BF290" s="38"/>
      <c r="BG290" s="38"/>
      <c r="BH290" s="38"/>
      <c r="BI290" s="38"/>
      <c r="BJ290" s="38"/>
      <c r="BK290" s="38"/>
      <c r="BL290" s="38"/>
      <c r="BM290" s="38"/>
      <c r="BN290" s="38"/>
      <c r="BO290" s="38"/>
      <c r="BP290" s="38"/>
      <c r="BQ290" s="38"/>
      <c r="BR290" s="38"/>
    </row>
    <row r="291" spans="1:70">
      <c r="A291" s="38"/>
      <c r="B291" s="38"/>
      <c r="C291" s="43"/>
      <c r="D291" s="38"/>
      <c r="E291" s="38"/>
      <c r="F291" s="43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8"/>
      <c r="AJ291" s="38"/>
      <c r="AK291" s="38"/>
      <c r="AL291" s="38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  <c r="BA291" s="38"/>
      <c r="BB291" s="38"/>
      <c r="BC291" s="38"/>
      <c r="BD291" s="38"/>
      <c r="BE291" s="38"/>
      <c r="BF291" s="38"/>
      <c r="BG291" s="38"/>
      <c r="BH291" s="38"/>
      <c r="BI291" s="38"/>
      <c r="BJ291" s="38"/>
      <c r="BK291" s="38"/>
      <c r="BL291" s="38"/>
      <c r="BM291" s="38"/>
      <c r="BN291" s="38"/>
      <c r="BO291" s="38"/>
      <c r="BP291" s="38"/>
      <c r="BQ291" s="38"/>
      <c r="BR291" s="38"/>
    </row>
    <row r="292" spans="1:70">
      <c r="A292" s="38"/>
      <c r="B292" s="38"/>
      <c r="C292" s="43"/>
      <c r="D292" s="38"/>
      <c r="E292" s="38"/>
      <c r="F292" s="43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8"/>
      <c r="AJ292" s="38"/>
      <c r="AK292" s="38"/>
      <c r="AL292" s="38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  <c r="BA292" s="38"/>
      <c r="BB292" s="38"/>
      <c r="BC292" s="38"/>
      <c r="BD292" s="38"/>
      <c r="BE292" s="38"/>
      <c r="BF292" s="38"/>
      <c r="BG292" s="38"/>
      <c r="BH292" s="38"/>
      <c r="BI292" s="38"/>
      <c r="BJ292" s="38"/>
      <c r="BK292" s="38"/>
      <c r="BL292" s="38"/>
      <c r="BM292" s="38"/>
      <c r="BN292" s="38"/>
      <c r="BO292" s="38"/>
      <c r="BP292" s="38"/>
      <c r="BQ292" s="38"/>
      <c r="BR292" s="38"/>
    </row>
    <row r="293" spans="1:70">
      <c r="A293" s="38"/>
      <c r="B293" s="38"/>
      <c r="C293" s="43"/>
      <c r="D293" s="38"/>
      <c r="E293" s="38"/>
      <c r="F293" s="43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8"/>
      <c r="AJ293" s="38"/>
      <c r="AK293" s="38"/>
      <c r="AL293" s="38"/>
      <c r="AM293" s="38"/>
      <c r="AN293" s="38"/>
      <c r="AO293" s="38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  <c r="BA293" s="38"/>
      <c r="BB293" s="38"/>
      <c r="BC293" s="38"/>
      <c r="BD293" s="38"/>
      <c r="BE293" s="38"/>
      <c r="BF293" s="38"/>
      <c r="BG293" s="38"/>
      <c r="BH293" s="38"/>
      <c r="BI293" s="38"/>
      <c r="BJ293" s="38"/>
      <c r="BK293" s="38"/>
      <c r="BL293" s="38"/>
      <c r="BM293" s="38"/>
      <c r="BN293" s="38"/>
      <c r="BO293" s="38"/>
      <c r="BP293" s="38"/>
      <c r="BQ293" s="38"/>
      <c r="BR293" s="38"/>
    </row>
    <row r="294" spans="1:70">
      <c r="A294" s="38"/>
      <c r="B294" s="38"/>
      <c r="C294" s="43"/>
      <c r="D294" s="38"/>
      <c r="E294" s="38"/>
      <c r="F294" s="43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8"/>
      <c r="AJ294" s="38"/>
      <c r="AK294" s="38"/>
      <c r="AL294" s="38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  <c r="BA294" s="38"/>
      <c r="BB294" s="38"/>
      <c r="BC294" s="38"/>
      <c r="BD294" s="38"/>
      <c r="BE294" s="38"/>
      <c r="BF294" s="38"/>
      <c r="BG294" s="38"/>
      <c r="BH294" s="38"/>
      <c r="BI294" s="38"/>
      <c r="BJ294" s="38"/>
      <c r="BK294" s="38"/>
      <c r="BL294" s="38"/>
      <c r="BM294" s="38"/>
      <c r="BN294" s="38"/>
      <c r="BO294" s="38"/>
      <c r="BP294" s="38"/>
      <c r="BQ294" s="38"/>
      <c r="BR294" s="38"/>
    </row>
    <row r="295" spans="1:70">
      <c r="A295" s="38"/>
      <c r="B295" s="38"/>
      <c r="C295" s="43"/>
      <c r="D295" s="38"/>
      <c r="E295" s="38"/>
      <c r="F295" s="43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8"/>
      <c r="AJ295" s="38"/>
      <c r="AK295" s="38"/>
      <c r="AL295" s="38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  <c r="BA295" s="38"/>
      <c r="BB295" s="38"/>
      <c r="BC295" s="38"/>
      <c r="BD295" s="38"/>
      <c r="BE295" s="38"/>
      <c r="BF295" s="38"/>
      <c r="BG295" s="38"/>
      <c r="BH295" s="38"/>
      <c r="BI295" s="38"/>
      <c r="BJ295" s="38"/>
      <c r="BK295" s="38"/>
      <c r="BL295" s="38"/>
      <c r="BM295" s="38"/>
      <c r="BN295" s="38"/>
      <c r="BO295" s="38"/>
      <c r="BP295" s="38"/>
      <c r="BQ295" s="38"/>
      <c r="BR295" s="38"/>
    </row>
    <row r="296" spans="1:70">
      <c r="A296" s="38"/>
      <c r="B296" s="38"/>
      <c r="C296" s="43"/>
      <c r="D296" s="38"/>
      <c r="E296" s="38"/>
      <c r="F296" s="43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8"/>
      <c r="AJ296" s="38"/>
      <c r="AK296" s="38"/>
      <c r="AL296" s="38"/>
      <c r="AM296" s="38"/>
      <c r="AN296" s="38"/>
      <c r="AO296" s="38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  <c r="BA296" s="38"/>
      <c r="BB296" s="38"/>
      <c r="BC296" s="38"/>
      <c r="BD296" s="38"/>
      <c r="BE296" s="38"/>
      <c r="BF296" s="38"/>
      <c r="BG296" s="38"/>
      <c r="BH296" s="38"/>
      <c r="BI296" s="38"/>
      <c r="BJ296" s="38"/>
      <c r="BK296" s="38"/>
      <c r="BL296" s="38"/>
      <c r="BM296" s="38"/>
      <c r="BN296" s="38"/>
      <c r="BO296" s="38"/>
      <c r="BP296" s="38"/>
      <c r="BQ296" s="38"/>
      <c r="BR296" s="38"/>
    </row>
    <row r="297" spans="1:70">
      <c r="A297" s="38"/>
      <c r="B297" s="38"/>
      <c r="C297" s="43"/>
      <c r="D297" s="38"/>
      <c r="E297" s="38"/>
      <c r="F297" s="43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8"/>
      <c r="AJ297" s="38"/>
      <c r="AK297" s="38"/>
      <c r="AL297" s="38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  <c r="BA297" s="38"/>
      <c r="BB297" s="38"/>
      <c r="BC297" s="38"/>
      <c r="BD297" s="38"/>
      <c r="BE297" s="38"/>
      <c r="BF297" s="38"/>
      <c r="BG297" s="38"/>
      <c r="BH297" s="38"/>
      <c r="BI297" s="38"/>
      <c r="BJ297" s="38"/>
      <c r="BK297" s="38"/>
      <c r="BL297" s="38"/>
      <c r="BM297" s="38"/>
      <c r="BN297" s="38"/>
      <c r="BO297" s="38"/>
      <c r="BP297" s="38"/>
      <c r="BQ297" s="38"/>
      <c r="BR297" s="38"/>
    </row>
    <row r="298" spans="1:70">
      <c r="A298" s="38"/>
      <c r="B298" s="38"/>
      <c r="C298" s="43"/>
      <c r="D298" s="38"/>
      <c r="E298" s="38"/>
      <c r="F298" s="43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8"/>
      <c r="AJ298" s="38"/>
      <c r="AK298" s="38"/>
      <c r="AL298" s="38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  <c r="BA298" s="38"/>
      <c r="BB298" s="38"/>
      <c r="BC298" s="38"/>
      <c r="BD298" s="38"/>
      <c r="BE298" s="38"/>
      <c r="BF298" s="38"/>
      <c r="BG298" s="38"/>
      <c r="BH298" s="38"/>
      <c r="BI298" s="38"/>
      <c r="BJ298" s="38"/>
      <c r="BK298" s="38"/>
      <c r="BL298" s="38"/>
      <c r="BM298" s="38"/>
      <c r="BN298" s="38"/>
      <c r="BO298" s="38"/>
      <c r="BP298" s="38"/>
      <c r="BQ298" s="38"/>
      <c r="BR298" s="38"/>
    </row>
    <row r="299" spans="1:70">
      <c r="A299" s="38"/>
      <c r="B299" s="38"/>
      <c r="C299" s="43"/>
      <c r="D299" s="38"/>
      <c r="E299" s="38"/>
      <c r="F299" s="43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8"/>
      <c r="AJ299" s="38"/>
      <c r="AK299" s="38"/>
      <c r="AL299" s="38"/>
      <c r="AM299" s="38"/>
      <c r="AN299" s="38"/>
      <c r="AO299" s="38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  <c r="BA299" s="38"/>
      <c r="BB299" s="38"/>
      <c r="BC299" s="38"/>
      <c r="BD299" s="38"/>
      <c r="BE299" s="38"/>
      <c r="BF299" s="38"/>
      <c r="BG299" s="38"/>
      <c r="BH299" s="38"/>
      <c r="BI299" s="38"/>
      <c r="BJ299" s="38"/>
      <c r="BK299" s="38"/>
      <c r="BL299" s="38"/>
      <c r="BM299" s="38"/>
      <c r="BN299" s="38"/>
      <c r="BO299" s="38"/>
      <c r="BP299" s="38"/>
      <c r="BQ299" s="38"/>
      <c r="BR299" s="38"/>
    </row>
    <row r="300" spans="1:70">
      <c r="A300" s="38"/>
      <c r="B300" s="38"/>
      <c r="C300" s="43"/>
      <c r="D300" s="38"/>
      <c r="E300" s="38"/>
      <c r="F300" s="43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8"/>
      <c r="AJ300" s="38"/>
      <c r="AK300" s="38"/>
      <c r="AL300" s="38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  <c r="BA300" s="38"/>
      <c r="BB300" s="38"/>
      <c r="BC300" s="38"/>
      <c r="BD300" s="38"/>
      <c r="BE300" s="38"/>
      <c r="BF300" s="38"/>
      <c r="BG300" s="38"/>
      <c r="BH300" s="38"/>
      <c r="BI300" s="38"/>
      <c r="BJ300" s="38"/>
      <c r="BK300" s="38"/>
      <c r="BL300" s="38"/>
      <c r="BM300" s="38"/>
      <c r="BN300" s="38"/>
      <c r="BO300" s="38"/>
      <c r="BP300" s="38"/>
      <c r="BQ300" s="38"/>
      <c r="BR300" s="38"/>
    </row>
    <row r="301" spans="1:70">
      <c r="A301" s="38"/>
      <c r="B301" s="38"/>
      <c r="C301" s="43"/>
      <c r="D301" s="38"/>
      <c r="E301" s="38"/>
      <c r="F301" s="43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8"/>
      <c r="AJ301" s="38"/>
      <c r="AK301" s="38"/>
      <c r="AL301" s="38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  <c r="BA301" s="38"/>
      <c r="BB301" s="38"/>
      <c r="BC301" s="38"/>
      <c r="BD301" s="38"/>
      <c r="BE301" s="38"/>
      <c r="BF301" s="38"/>
      <c r="BG301" s="38"/>
      <c r="BH301" s="38"/>
      <c r="BI301" s="38"/>
      <c r="BJ301" s="38"/>
      <c r="BK301" s="38"/>
      <c r="BL301" s="38"/>
      <c r="BM301" s="38"/>
      <c r="BN301" s="38"/>
      <c r="BO301" s="38"/>
      <c r="BP301" s="38"/>
      <c r="BQ301" s="38"/>
      <c r="BR301" s="38"/>
    </row>
    <row r="302" spans="1:70">
      <c r="A302" s="38"/>
      <c r="B302" s="38"/>
      <c r="C302" s="43"/>
      <c r="D302" s="38"/>
      <c r="E302" s="38"/>
      <c r="F302" s="43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8"/>
      <c r="AJ302" s="38"/>
      <c r="AK302" s="38"/>
      <c r="AL302" s="38"/>
      <c r="AM302" s="38"/>
      <c r="AN302" s="38"/>
      <c r="AO302" s="38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  <c r="BA302" s="38"/>
      <c r="BB302" s="38"/>
      <c r="BC302" s="38"/>
      <c r="BD302" s="38"/>
      <c r="BE302" s="38"/>
      <c r="BF302" s="38"/>
      <c r="BG302" s="38"/>
      <c r="BH302" s="38"/>
      <c r="BI302" s="38"/>
      <c r="BJ302" s="38"/>
      <c r="BK302" s="38"/>
      <c r="BL302" s="38"/>
      <c r="BM302" s="38"/>
      <c r="BN302" s="38"/>
      <c r="BO302" s="38"/>
      <c r="BP302" s="38"/>
      <c r="BQ302" s="38"/>
      <c r="BR302" s="38"/>
    </row>
    <row r="303" spans="1:70">
      <c r="A303" s="38"/>
      <c r="B303" s="38"/>
      <c r="C303" s="43"/>
      <c r="D303" s="38"/>
      <c r="E303" s="38"/>
      <c r="F303" s="43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8"/>
      <c r="AJ303" s="38"/>
      <c r="AK303" s="38"/>
      <c r="AL303" s="38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  <c r="BA303" s="38"/>
      <c r="BB303" s="38"/>
      <c r="BC303" s="38"/>
      <c r="BD303" s="38"/>
      <c r="BE303" s="38"/>
      <c r="BF303" s="38"/>
      <c r="BG303" s="38"/>
      <c r="BH303" s="38"/>
      <c r="BI303" s="38"/>
      <c r="BJ303" s="38"/>
      <c r="BK303" s="38"/>
      <c r="BL303" s="38"/>
      <c r="BM303" s="38"/>
      <c r="BN303" s="38"/>
      <c r="BO303" s="38"/>
      <c r="BP303" s="38"/>
      <c r="BQ303" s="38"/>
      <c r="BR303" s="38"/>
    </row>
    <row r="304" spans="1:70">
      <c r="A304" s="38"/>
      <c r="B304" s="38"/>
      <c r="C304" s="43"/>
      <c r="D304" s="38"/>
      <c r="E304" s="38"/>
      <c r="F304" s="43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8"/>
      <c r="AJ304" s="38"/>
      <c r="AK304" s="38"/>
      <c r="AL304" s="38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  <c r="BA304" s="38"/>
      <c r="BB304" s="38"/>
      <c r="BC304" s="38"/>
      <c r="BD304" s="38"/>
      <c r="BE304" s="38"/>
      <c r="BF304" s="38"/>
      <c r="BG304" s="38"/>
      <c r="BH304" s="38"/>
      <c r="BI304" s="38"/>
      <c r="BJ304" s="38"/>
      <c r="BK304" s="38"/>
      <c r="BL304" s="38"/>
      <c r="BM304" s="38"/>
      <c r="BN304" s="38"/>
      <c r="BO304" s="38"/>
      <c r="BP304" s="38"/>
      <c r="BQ304" s="38"/>
      <c r="BR304" s="38"/>
    </row>
    <row r="305" spans="1:70">
      <c r="A305" s="38"/>
      <c r="B305" s="38"/>
      <c r="C305" s="43"/>
      <c r="D305" s="38"/>
      <c r="E305" s="38"/>
      <c r="F305" s="43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</row>
    <row r="306" spans="1:70">
      <c r="A306" s="38"/>
      <c r="B306" s="38"/>
      <c r="C306" s="43"/>
      <c r="D306" s="38"/>
      <c r="E306" s="38"/>
      <c r="F306" s="43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8"/>
      <c r="AJ306" s="38"/>
      <c r="AK306" s="38"/>
      <c r="AL306" s="38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  <c r="BA306" s="38"/>
      <c r="BB306" s="38"/>
      <c r="BC306" s="38"/>
      <c r="BD306" s="38"/>
      <c r="BE306" s="38"/>
      <c r="BF306" s="38"/>
      <c r="BG306" s="38"/>
      <c r="BH306" s="38"/>
      <c r="BI306" s="38"/>
      <c r="BJ306" s="38"/>
      <c r="BK306" s="38"/>
      <c r="BL306" s="38"/>
      <c r="BM306" s="38"/>
      <c r="BN306" s="38"/>
      <c r="BO306" s="38"/>
      <c r="BP306" s="38"/>
      <c r="BQ306" s="38"/>
      <c r="BR306" s="38"/>
    </row>
    <row r="307" spans="1:70">
      <c r="A307" s="38"/>
      <c r="B307" s="38"/>
      <c r="C307" s="43"/>
      <c r="D307" s="38"/>
      <c r="E307" s="38"/>
      <c r="F307" s="43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8"/>
      <c r="AJ307" s="38"/>
      <c r="AK307" s="38"/>
      <c r="AL307" s="38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  <c r="BA307" s="38"/>
      <c r="BB307" s="38"/>
      <c r="BC307" s="38"/>
      <c r="BD307" s="38"/>
      <c r="BE307" s="38"/>
      <c r="BF307" s="38"/>
      <c r="BG307" s="38"/>
      <c r="BH307" s="38"/>
      <c r="BI307" s="38"/>
      <c r="BJ307" s="38"/>
      <c r="BK307" s="38"/>
      <c r="BL307" s="38"/>
      <c r="BM307" s="38"/>
      <c r="BN307" s="38"/>
      <c r="BO307" s="38"/>
      <c r="BP307" s="38"/>
      <c r="BQ307" s="38"/>
      <c r="BR307" s="38"/>
    </row>
    <row r="308" spans="1:70">
      <c r="A308" s="38"/>
      <c r="B308" s="38"/>
      <c r="C308" s="43"/>
      <c r="D308" s="38"/>
      <c r="E308" s="38"/>
      <c r="F308" s="43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8"/>
      <c r="AJ308" s="38"/>
      <c r="AK308" s="38"/>
      <c r="AL308" s="38"/>
      <c r="AM308" s="38"/>
      <c r="AN308" s="38"/>
      <c r="AO308" s="38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  <c r="BA308" s="38"/>
      <c r="BB308" s="38"/>
      <c r="BC308" s="38"/>
      <c r="BD308" s="38"/>
      <c r="BE308" s="38"/>
      <c r="BF308" s="38"/>
      <c r="BG308" s="38"/>
      <c r="BH308" s="38"/>
      <c r="BI308" s="38"/>
      <c r="BJ308" s="38"/>
      <c r="BK308" s="38"/>
      <c r="BL308" s="38"/>
      <c r="BM308" s="38"/>
      <c r="BN308" s="38"/>
      <c r="BO308" s="38"/>
      <c r="BP308" s="38"/>
      <c r="BQ308" s="38"/>
      <c r="BR308" s="38"/>
    </row>
    <row r="309" spans="1:70">
      <c r="A309" s="38"/>
      <c r="B309" s="38"/>
      <c r="C309" s="43"/>
      <c r="D309" s="38"/>
      <c r="E309" s="38"/>
      <c r="F309" s="43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8"/>
      <c r="AJ309" s="38"/>
      <c r="AK309" s="38"/>
      <c r="AL309" s="38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  <c r="BA309" s="38"/>
      <c r="BB309" s="38"/>
      <c r="BC309" s="38"/>
      <c r="BD309" s="38"/>
      <c r="BE309" s="38"/>
      <c r="BF309" s="38"/>
      <c r="BG309" s="38"/>
      <c r="BH309" s="38"/>
      <c r="BI309" s="38"/>
      <c r="BJ309" s="38"/>
      <c r="BK309" s="38"/>
      <c r="BL309" s="38"/>
      <c r="BM309" s="38"/>
      <c r="BN309" s="38"/>
      <c r="BO309" s="38"/>
      <c r="BP309" s="38"/>
      <c r="BQ309" s="38"/>
      <c r="BR309" s="38"/>
    </row>
    <row r="310" spans="1:70">
      <c r="A310" s="38"/>
      <c r="B310" s="38"/>
      <c r="C310" s="43"/>
      <c r="D310" s="38"/>
      <c r="E310" s="38"/>
      <c r="F310" s="43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8"/>
      <c r="AJ310" s="38"/>
      <c r="AK310" s="38"/>
      <c r="AL310" s="38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  <c r="BA310" s="38"/>
      <c r="BB310" s="38"/>
      <c r="BC310" s="38"/>
      <c r="BD310" s="38"/>
      <c r="BE310" s="38"/>
      <c r="BF310" s="38"/>
      <c r="BG310" s="38"/>
      <c r="BH310" s="38"/>
      <c r="BI310" s="38"/>
      <c r="BJ310" s="38"/>
      <c r="BK310" s="38"/>
      <c r="BL310" s="38"/>
      <c r="BM310" s="38"/>
      <c r="BN310" s="38"/>
      <c r="BO310" s="38"/>
      <c r="BP310" s="38"/>
      <c r="BQ310" s="38"/>
      <c r="BR310" s="38"/>
    </row>
    <row r="311" spans="1:70">
      <c r="A311" s="38"/>
      <c r="B311" s="38"/>
      <c r="C311" s="43"/>
      <c r="D311" s="38"/>
      <c r="E311" s="38"/>
      <c r="F311" s="43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</row>
    <row r="312" spans="1:70">
      <c r="A312" s="38"/>
      <c r="B312" s="38"/>
      <c r="C312" s="43"/>
      <c r="D312" s="38"/>
      <c r="E312" s="38"/>
      <c r="F312" s="43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</row>
    <row r="313" spans="1:70">
      <c r="A313" s="38"/>
      <c r="B313" s="38"/>
      <c r="C313" s="43"/>
      <c r="D313" s="38"/>
      <c r="E313" s="38"/>
      <c r="F313" s="43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</row>
    <row r="314" spans="1:70">
      <c r="A314" s="38"/>
      <c r="B314" s="38"/>
      <c r="C314" s="43"/>
      <c r="D314" s="38"/>
      <c r="E314" s="38"/>
      <c r="F314" s="43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</row>
    <row r="315" spans="1:70">
      <c r="A315" s="38"/>
      <c r="B315" s="38"/>
      <c r="C315" s="43"/>
      <c r="D315" s="38"/>
      <c r="E315" s="38"/>
      <c r="F315" s="43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</row>
    <row r="316" spans="1:70">
      <c r="A316" s="38"/>
      <c r="B316" s="38"/>
      <c r="C316" s="43"/>
      <c r="D316" s="38"/>
      <c r="E316" s="38"/>
      <c r="F316" s="43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</row>
    <row r="317" spans="1:70">
      <c r="A317" s="38"/>
      <c r="B317" s="38"/>
      <c r="C317" s="43"/>
      <c r="D317" s="38"/>
      <c r="E317" s="38"/>
      <c r="F317" s="43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</row>
    <row r="318" spans="1:70">
      <c r="A318" s="38"/>
      <c r="B318" s="38"/>
      <c r="C318" s="43"/>
      <c r="D318" s="38"/>
      <c r="E318" s="38"/>
      <c r="F318" s="43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</row>
    <row r="319" spans="1:70">
      <c r="A319" s="38"/>
      <c r="B319" s="38"/>
      <c r="C319" s="43"/>
      <c r="D319" s="38"/>
      <c r="E319" s="38"/>
      <c r="F319" s="43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</row>
    <row r="320" spans="1:70">
      <c r="A320" s="38"/>
      <c r="B320" s="38"/>
      <c r="C320" s="43"/>
      <c r="D320" s="38"/>
      <c r="E320" s="38"/>
      <c r="F320" s="43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</row>
    <row r="321" spans="1:70">
      <c r="A321" s="38"/>
      <c r="B321" s="38"/>
      <c r="C321" s="43"/>
      <c r="D321" s="38"/>
      <c r="E321" s="38"/>
      <c r="F321" s="43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</row>
    <row r="322" spans="1:70">
      <c r="A322" s="38"/>
      <c r="B322" s="38"/>
      <c r="C322" s="43"/>
      <c r="D322" s="38"/>
      <c r="E322" s="38"/>
      <c r="F322" s="43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</row>
    <row r="323" spans="1:70">
      <c r="A323" s="38"/>
      <c r="B323" s="38"/>
      <c r="C323" s="43"/>
      <c r="D323" s="38"/>
      <c r="E323" s="38"/>
      <c r="F323" s="43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</row>
    <row r="324" spans="1:70">
      <c r="A324" s="38"/>
      <c r="B324" s="38"/>
      <c r="C324" s="43"/>
      <c r="D324" s="38"/>
      <c r="E324" s="38"/>
      <c r="F324" s="43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</row>
    <row r="325" spans="1:70">
      <c r="A325" s="38"/>
      <c r="B325" s="38"/>
      <c r="C325" s="43"/>
      <c r="D325" s="38"/>
      <c r="E325" s="38"/>
      <c r="F325" s="43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</row>
    <row r="326" spans="1:70">
      <c r="A326" s="38"/>
      <c r="B326" s="38"/>
      <c r="C326" s="43"/>
      <c r="D326" s="38"/>
      <c r="E326" s="38"/>
      <c r="F326" s="43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</row>
    <row r="327" spans="1:70">
      <c r="A327" s="38"/>
      <c r="B327" s="38"/>
      <c r="C327" s="43"/>
      <c r="D327" s="38"/>
      <c r="E327" s="38"/>
      <c r="F327" s="43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</row>
    <row r="328" spans="1:70">
      <c r="A328" s="38"/>
      <c r="B328" s="38"/>
      <c r="C328" s="43"/>
      <c r="D328" s="38"/>
      <c r="E328" s="38"/>
      <c r="F328" s="43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</row>
    <row r="329" spans="1:70">
      <c r="A329" s="38"/>
      <c r="B329" s="38"/>
      <c r="C329" s="43"/>
      <c r="D329" s="38"/>
      <c r="E329" s="38"/>
      <c r="F329" s="43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</row>
    <row r="330" spans="1:70">
      <c r="A330" s="38"/>
      <c r="B330" s="38"/>
      <c r="C330" s="43"/>
      <c r="D330" s="38"/>
      <c r="E330" s="38"/>
      <c r="F330" s="43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</row>
    <row r="331" spans="1:70">
      <c r="A331" s="38"/>
      <c r="B331" s="38"/>
      <c r="C331" s="43"/>
      <c r="D331" s="38"/>
      <c r="E331" s="38"/>
      <c r="F331" s="43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</row>
    <row r="332" spans="1:70">
      <c r="A332" s="38"/>
      <c r="B332" s="38"/>
      <c r="C332" s="43"/>
      <c r="D332" s="38"/>
      <c r="E332" s="38"/>
      <c r="F332" s="43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/>
    </row>
    <row r="333" spans="1:70">
      <c r="A333" s="38"/>
      <c r="B333" s="38"/>
      <c r="C333" s="43"/>
      <c r="D333" s="38"/>
      <c r="E333" s="38"/>
      <c r="F333" s="43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</row>
    <row r="334" spans="1:70">
      <c r="A334" s="38"/>
      <c r="B334" s="38"/>
      <c r="C334" s="43"/>
      <c r="D334" s="38"/>
      <c r="E334" s="38"/>
      <c r="F334" s="43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</row>
    <row r="335" spans="1:70">
      <c r="A335" s="38"/>
      <c r="B335" s="38"/>
      <c r="C335" s="43"/>
      <c r="D335" s="38"/>
      <c r="E335" s="38"/>
      <c r="F335" s="43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</row>
    <row r="336" spans="1:70">
      <c r="A336" s="38"/>
      <c r="B336" s="38"/>
      <c r="C336" s="43"/>
      <c r="D336" s="38"/>
      <c r="E336" s="38"/>
      <c r="F336" s="43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</row>
    <row r="337" spans="1:70">
      <c r="A337" s="38"/>
      <c r="B337" s="38"/>
      <c r="C337" s="43"/>
      <c r="D337" s="38"/>
      <c r="E337" s="38"/>
      <c r="F337" s="43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</row>
    <row r="338" spans="1:70">
      <c r="A338" s="38"/>
      <c r="B338" s="38"/>
      <c r="C338" s="43"/>
      <c r="D338" s="38"/>
      <c r="E338" s="38"/>
      <c r="F338" s="43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</row>
    <row r="339" spans="1:70">
      <c r="A339" s="38"/>
      <c r="B339" s="38"/>
      <c r="C339" s="43"/>
      <c r="D339" s="38"/>
      <c r="E339" s="38"/>
      <c r="F339" s="43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</row>
    <row r="340" spans="1:70">
      <c r="A340" s="38"/>
      <c r="B340" s="38"/>
      <c r="C340" s="43"/>
      <c r="D340" s="38"/>
      <c r="E340" s="38"/>
      <c r="F340" s="43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</row>
    <row r="341" spans="1:70">
      <c r="A341" s="38"/>
      <c r="B341" s="38"/>
      <c r="C341" s="43"/>
      <c r="D341" s="38"/>
      <c r="E341" s="38"/>
      <c r="F341" s="43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</row>
    <row r="342" spans="1:70">
      <c r="A342" s="38"/>
      <c r="B342" s="38"/>
      <c r="C342" s="43"/>
      <c r="D342" s="38"/>
      <c r="E342" s="38"/>
      <c r="F342" s="43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</row>
    <row r="343" spans="1:70">
      <c r="A343" s="38"/>
      <c r="B343" s="38"/>
      <c r="C343" s="43"/>
      <c r="D343" s="38"/>
      <c r="E343" s="38"/>
      <c r="F343" s="43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</row>
    <row r="344" spans="1:70">
      <c r="A344" s="38"/>
      <c r="B344" s="38"/>
      <c r="C344" s="43"/>
      <c r="D344" s="38"/>
      <c r="E344" s="38"/>
      <c r="F344" s="43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</row>
    <row r="345" spans="1:70">
      <c r="A345" s="38"/>
      <c r="B345" s="38"/>
      <c r="C345" s="43"/>
      <c r="D345" s="38"/>
      <c r="E345" s="38"/>
      <c r="F345" s="43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</row>
    <row r="346" spans="1:70">
      <c r="A346" s="38"/>
      <c r="B346" s="38"/>
      <c r="C346" s="43"/>
      <c r="D346" s="38"/>
      <c r="E346" s="38"/>
      <c r="F346" s="43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</row>
    <row r="347" spans="1:70">
      <c r="A347" s="38"/>
      <c r="B347" s="38"/>
      <c r="C347" s="43"/>
      <c r="D347" s="38"/>
      <c r="E347" s="38"/>
      <c r="F347" s="43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</row>
    <row r="348" spans="1:70">
      <c r="A348" s="38"/>
      <c r="B348" s="38"/>
      <c r="C348" s="43"/>
      <c r="D348" s="38"/>
      <c r="E348" s="38"/>
      <c r="F348" s="43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/>
      <c r="BO348" s="38"/>
      <c r="BP348" s="38"/>
      <c r="BQ348" s="38"/>
      <c r="BR348" s="38"/>
    </row>
    <row r="349" spans="1:70">
      <c r="A349" s="38"/>
      <c r="B349" s="38"/>
      <c r="C349" s="43"/>
      <c r="D349" s="38"/>
      <c r="E349" s="38"/>
      <c r="F349" s="43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</row>
    <row r="350" spans="1:70">
      <c r="A350" s="38"/>
      <c r="B350" s="38"/>
      <c r="C350" s="43"/>
      <c r="D350" s="38"/>
      <c r="E350" s="38"/>
      <c r="F350" s="43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</row>
    <row r="351" spans="1:70">
      <c r="A351" s="38"/>
      <c r="B351" s="38"/>
      <c r="C351" s="43"/>
      <c r="D351" s="38"/>
      <c r="E351" s="38"/>
      <c r="F351" s="43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</row>
    <row r="352" spans="1:70">
      <c r="A352" s="38"/>
      <c r="B352" s="38"/>
      <c r="C352" s="43"/>
      <c r="D352" s="38"/>
      <c r="E352" s="38"/>
      <c r="F352" s="43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</row>
    <row r="353" spans="1:70">
      <c r="A353" s="38"/>
      <c r="B353" s="38"/>
      <c r="C353" s="43"/>
      <c r="D353" s="38"/>
      <c r="E353" s="38"/>
      <c r="F353" s="43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</row>
    <row r="354" spans="1:70">
      <c r="A354" s="38"/>
      <c r="B354" s="38"/>
      <c r="C354" s="43"/>
      <c r="D354" s="38"/>
      <c r="E354" s="38"/>
      <c r="F354" s="43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</row>
    <row r="355" spans="1:70">
      <c r="A355" s="38"/>
      <c r="B355" s="38"/>
      <c r="C355" s="43"/>
      <c r="D355" s="38"/>
      <c r="E355" s="38"/>
      <c r="F355" s="43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</row>
    <row r="356" spans="1:70">
      <c r="A356" s="38"/>
      <c r="B356" s="38"/>
      <c r="C356" s="43"/>
      <c r="D356" s="38"/>
      <c r="E356" s="38"/>
      <c r="F356" s="43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</row>
    <row r="357" spans="1:70">
      <c r="A357" s="38"/>
      <c r="B357" s="38"/>
      <c r="C357" s="43"/>
      <c r="D357" s="38"/>
      <c r="E357" s="38"/>
      <c r="F357" s="43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</row>
    <row r="358" spans="1:70">
      <c r="A358" s="38"/>
      <c r="B358" s="38"/>
      <c r="C358" s="43"/>
      <c r="D358" s="38"/>
      <c r="E358" s="38"/>
      <c r="F358" s="43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</row>
    <row r="359" spans="1:70">
      <c r="A359" s="38"/>
      <c r="B359" s="38"/>
      <c r="C359" s="43"/>
      <c r="D359" s="38"/>
      <c r="E359" s="38"/>
      <c r="F359" s="43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</row>
    <row r="360" spans="1:70">
      <c r="A360" s="38"/>
      <c r="B360" s="38"/>
      <c r="C360" s="43"/>
      <c r="D360" s="38"/>
      <c r="E360" s="38"/>
      <c r="F360" s="43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</row>
    <row r="361" spans="1:70">
      <c r="A361" s="38"/>
      <c r="B361" s="38"/>
      <c r="C361" s="43"/>
      <c r="D361" s="38"/>
      <c r="E361" s="38"/>
      <c r="F361" s="43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/>
      <c r="BG361" s="38"/>
      <c r="BH361" s="38"/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</row>
    <row r="362" spans="1:70">
      <c r="A362" s="38"/>
      <c r="B362" s="38"/>
      <c r="C362" s="43"/>
      <c r="D362" s="38"/>
      <c r="E362" s="38"/>
      <c r="F362" s="43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</row>
    <row r="363" spans="1:70">
      <c r="A363" s="38"/>
      <c r="B363" s="38"/>
      <c r="C363" s="43"/>
      <c r="D363" s="38"/>
      <c r="E363" s="38"/>
      <c r="F363" s="43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</row>
    <row r="364" spans="1:70">
      <c r="A364" s="38"/>
      <c r="B364" s="38"/>
      <c r="C364" s="43"/>
      <c r="D364" s="38"/>
      <c r="E364" s="38"/>
      <c r="F364" s="43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</row>
    <row r="365" spans="1:70">
      <c r="A365" s="38"/>
      <c r="B365" s="38"/>
      <c r="C365" s="43"/>
      <c r="D365" s="38"/>
      <c r="E365" s="38"/>
      <c r="F365" s="43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</row>
    <row r="366" spans="1:70">
      <c r="A366" s="38"/>
      <c r="B366" s="38"/>
      <c r="C366" s="43"/>
      <c r="D366" s="38"/>
      <c r="E366" s="38"/>
      <c r="F366" s="43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</row>
    <row r="367" spans="1:70">
      <c r="A367" s="38"/>
      <c r="B367" s="38"/>
      <c r="C367" s="43"/>
      <c r="D367" s="38"/>
      <c r="E367" s="38"/>
      <c r="F367" s="43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</row>
    <row r="368" spans="1:70">
      <c r="A368" s="38"/>
      <c r="B368" s="38"/>
      <c r="C368" s="43"/>
      <c r="D368" s="38"/>
      <c r="E368" s="38"/>
      <c r="F368" s="43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  <c r="BA368" s="38"/>
      <c r="BB368" s="38"/>
      <c r="BC368" s="38"/>
      <c r="BD368" s="38"/>
      <c r="BE368" s="38"/>
      <c r="BF368" s="38"/>
      <c r="BG368" s="38"/>
      <c r="BH368" s="38"/>
      <c r="BI368" s="38"/>
      <c r="BJ368" s="38"/>
      <c r="BK368" s="38"/>
      <c r="BL368" s="38"/>
      <c r="BM368" s="38"/>
      <c r="BN368" s="38"/>
      <c r="BO368" s="38"/>
      <c r="BP368" s="38"/>
      <c r="BQ368" s="38"/>
      <c r="BR368" s="38"/>
    </row>
    <row r="369" spans="1:70">
      <c r="A369" s="38"/>
      <c r="B369" s="38"/>
      <c r="C369" s="43"/>
      <c r="D369" s="38"/>
      <c r="E369" s="38"/>
      <c r="F369" s="43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  <c r="BA369" s="38"/>
      <c r="BB369" s="38"/>
      <c r="BC369" s="38"/>
      <c r="BD369" s="38"/>
      <c r="BE369" s="38"/>
      <c r="BF369" s="38"/>
      <c r="BG369" s="38"/>
      <c r="BH369" s="38"/>
      <c r="BI369" s="38"/>
      <c r="BJ369" s="38"/>
      <c r="BK369" s="38"/>
      <c r="BL369" s="38"/>
      <c r="BM369" s="38"/>
      <c r="BN369" s="38"/>
      <c r="BO369" s="38"/>
      <c r="BP369" s="38"/>
      <c r="BQ369" s="38"/>
      <c r="BR369" s="38"/>
    </row>
    <row r="370" spans="1:70">
      <c r="A370" s="38"/>
      <c r="B370" s="38"/>
      <c r="C370" s="43"/>
      <c r="D370" s="38"/>
      <c r="E370" s="38"/>
      <c r="F370" s="43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38"/>
      <c r="BF370" s="38"/>
      <c r="BG370" s="38"/>
      <c r="BH370" s="38"/>
      <c r="BI370" s="38"/>
      <c r="BJ370" s="38"/>
      <c r="BK370" s="38"/>
      <c r="BL370" s="38"/>
      <c r="BM370" s="38"/>
      <c r="BN370" s="38"/>
      <c r="BO370" s="38"/>
      <c r="BP370" s="38"/>
      <c r="BQ370" s="38"/>
      <c r="BR370" s="38"/>
    </row>
    <row r="371" spans="1:70">
      <c r="A371" s="38"/>
      <c r="B371" s="38"/>
      <c r="C371" s="43"/>
      <c r="D371" s="38"/>
      <c r="E371" s="38"/>
      <c r="F371" s="43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  <c r="BA371" s="38"/>
      <c r="BB371" s="38"/>
      <c r="BC371" s="38"/>
      <c r="BD371" s="38"/>
      <c r="BE371" s="38"/>
      <c r="BF371" s="38"/>
      <c r="BG371" s="38"/>
      <c r="BH371" s="38"/>
      <c r="BI371" s="38"/>
      <c r="BJ371" s="38"/>
      <c r="BK371" s="38"/>
      <c r="BL371" s="38"/>
      <c r="BM371" s="38"/>
      <c r="BN371" s="38"/>
      <c r="BO371" s="38"/>
      <c r="BP371" s="38"/>
      <c r="BQ371" s="38"/>
      <c r="BR371" s="38"/>
    </row>
    <row r="372" spans="1:70">
      <c r="A372" s="38"/>
      <c r="B372" s="38"/>
      <c r="C372" s="43"/>
      <c r="D372" s="38"/>
      <c r="E372" s="38"/>
      <c r="F372" s="43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  <c r="BA372" s="38"/>
      <c r="BB372" s="38"/>
      <c r="BC372" s="38"/>
      <c r="BD372" s="38"/>
      <c r="BE372" s="38"/>
      <c r="BF372" s="38"/>
      <c r="BG372" s="38"/>
      <c r="BH372" s="38"/>
      <c r="BI372" s="38"/>
      <c r="BJ372" s="38"/>
      <c r="BK372" s="38"/>
      <c r="BL372" s="38"/>
      <c r="BM372" s="38"/>
      <c r="BN372" s="38"/>
      <c r="BO372" s="38"/>
      <c r="BP372" s="38"/>
      <c r="BQ372" s="38"/>
      <c r="BR372" s="38"/>
    </row>
    <row r="373" spans="1:70">
      <c r="A373" s="38"/>
      <c r="B373" s="38"/>
      <c r="C373" s="43"/>
      <c r="D373" s="38"/>
      <c r="E373" s="38"/>
      <c r="F373" s="43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  <c r="BA373" s="38"/>
      <c r="BB373" s="38"/>
      <c r="BC373" s="38"/>
      <c r="BD373" s="38"/>
      <c r="BE373" s="38"/>
      <c r="BF373" s="38"/>
      <c r="BG373" s="38"/>
      <c r="BH373" s="38"/>
      <c r="BI373" s="38"/>
      <c r="BJ373" s="38"/>
      <c r="BK373" s="38"/>
      <c r="BL373" s="38"/>
      <c r="BM373" s="38"/>
      <c r="BN373" s="38"/>
      <c r="BO373" s="38"/>
      <c r="BP373" s="38"/>
      <c r="BQ373" s="38"/>
      <c r="BR373" s="38"/>
    </row>
    <row r="374" spans="1:70">
      <c r="A374" s="38"/>
      <c r="B374" s="38"/>
      <c r="C374" s="43"/>
      <c r="D374" s="38"/>
      <c r="E374" s="38"/>
      <c r="F374" s="43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  <c r="BA374" s="38"/>
      <c r="BB374" s="38"/>
      <c r="BC374" s="38"/>
      <c r="BD374" s="38"/>
      <c r="BE374" s="38"/>
      <c r="BF374" s="38"/>
      <c r="BG374" s="38"/>
      <c r="BH374" s="38"/>
      <c r="BI374" s="38"/>
      <c r="BJ374" s="38"/>
      <c r="BK374" s="38"/>
      <c r="BL374" s="38"/>
      <c r="BM374" s="38"/>
      <c r="BN374" s="38"/>
      <c r="BO374" s="38"/>
      <c r="BP374" s="38"/>
      <c r="BQ374" s="38"/>
      <c r="BR374" s="38"/>
    </row>
    <row r="375" spans="1:70">
      <c r="A375" s="38"/>
      <c r="B375" s="38"/>
      <c r="C375" s="43"/>
      <c r="D375" s="38"/>
      <c r="E375" s="38"/>
      <c r="F375" s="43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  <c r="BA375" s="38"/>
      <c r="BB375" s="38"/>
      <c r="BC375" s="38"/>
      <c r="BD375" s="38"/>
      <c r="BE375" s="38"/>
      <c r="BF375" s="38"/>
      <c r="BG375" s="38"/>
      <c r="BH375" s="38"/>
      <c r="BI375" s="38"/>
      <c r="BJ375" s="38"/>
      <c r="BK375" s="38"/>
      <c r="BL375" s="38"/>
      <c r="BM375" s="38"/>
      <c r="BN375" s="38"/>
      <c r="BO375" s="38"/>
      <c r="BP375" s="38"/>
      <c r="BQ375" s="38"/>
      <c r="BR375" s="38"/>
    </row>
    <row r="376" spans="1:70">
      <c r="A376" s="38"/>
      <c r="B376" s="38"/>
      <c r="C376" s="43"/>
      <c r="D376" s="38"/>
      <c r="E376" s="38"/>
      <c r="F376" s="43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8"/>
      <c r="AJ376" s="38"/>
      <c r="AK376" s="38"/>
      <c r="AL376" s="38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  <c r="BA376" s="38"/>
      <c r="BB376" s="38"/>
      <c r="BC376" s="38"/>
      <c r="BD376" s="38"/>
      <c r="BE376" s="38"/>
      <c r="BF376" s="38"/>
      <c r="BG376" s="38"/>
      <c r="BH376" s="38"/>
      <c r="BI376" s="38"/>
      <c r="BJ376" s="38"/>
      <c r="BK376" s="38"/>
      <c r="BL376" s="38"/>
      <c r="BM376" s="38"/>
      <c r="BN376" s="38"/>
      <c r="BO376" s="38"/>
      <c r="BP376" s="38"/>
      <c r="BQ376" s="38"/>
      <c r="BR376" s="38"/>
    </row>
    <row r="377" spans="1:70">
      <c r="A377" s="38"/>
      <c r="B377" s="38"/>
      <c r="C377" s="43"/>
      <c r="D377" s="38"/>
      <c r="E377" s="38"/>
      <c r="F377" s="43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  <c r="BA377" s="38"/>
      <c r="BB377" s="38"/>
      <c r="BC377" s="38"/>
      <c r="BD377" s="38"/>
      <c r="BE377" s="38"/>
      <c r="BF377" s="38"/>
      <c r="BG377" s="38"/>
      <c r="BH377" s="38"/>
      <c r="BI377" s="38"/>
      <c r="BJ377" s="38"/>
      <c r="BK377" s="38"/>
      <c r="BL377" s="38"/>
      <c r="BM377" s="38"/>
      <c r="BN377" s="38"/>
      <c r="BO377" s="38"/>
      <c r="BP377" s="38"/>
      <c r="BQ377" s="38"/>
      <c r="BR377" s="38"/>
    </row>
    <row r="378" spans="1:70">
      <c r="A378" s="38"/>
      <c r="B378" s="38"/>
      <c r="C378" s="43"/>
      <c r="D378" s="38"/>
      <c r="E378" s="38"/>
      <c r="F378" s="43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  <c r="BA378" s="38"/>
      <c r="BB378" s="38"/>
      <c r="BC378" s="38"/>
      <c r="BD378" s="38"/>
      <c r="BE378" s="38"/>
      <c r="BF378" s="38"/>
      <c r="BG378" s="38"/>
      <c r="BH378" s="38"/>
      <c r="BI378" s="38"/>
      <c r="BJ378" s="38"/>
      <c r="BK378" s="38"/>
      <c r="BL378" s="38"/>
      <c r="BM378" s="38"/>
      <c r="BN378" s="38"/>
      <c r="BO378" s="38"/>
      <c r="BP378" s="38"/>
      <c r="BQ378" s="38"/>
      <c r="BR378" s="38"/>
    </row>
    <row r="379" spans="1:70">
      <c r="A379" s="38"/>
      <c r="B379" s="38"/>
      <c r="C379" s="43"/>
      <c r="D379" s="38"/>
      <c r="E379" s="38"/>
      <c r="F379" s="43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  <c r="BA379" s="38"/>
      <c r="BB379" s="38"/>
      <c r="BC379" s="38"/>
      <c r="BD379" s="38"/>
      <c r="BE379" s="38"/>
      <c r="BF379" s="38"/>
      <c r="BG379" s="38"/>
      <c r="BH379" s="38"/>
      <c r="BI379" s="38"/>
      <c r="BJ379" s="38"/>
      <c r="BK379" s="38"/>
      <c r="BL379" s="38"/>
      <c r="BM379" s="38"/>
      <c r="BN379" s="38"/>
      <c r="BO379" s="38"/>
      <c r="BP379" s="38"/>
      <c r="BQ379" s="38"/>
      <c r="BR379" s="38"/>
    </row>
    <row r="380" spans="1:70">
      <c r="A380" s="38"/>
      <c r="B380" s="38"/>
      <c r="C380" s="43"/>
      <c r="D380" s="38"/>
      <c r="E380" s="38"/>
      <c r="F380" s="43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  <c r="BA380" s="38"/>
      <c r="BB380" s="38"/>
      <c r="BC380" s="38"/>
      <c r="BD380" s="38"/>
      <c r="BE380" s="38"/>
      <c r="BF380" s="38"/>
      <c r="BG380" s="38"/>
      <c r="BH380" s="38"/>
      <c r="BI380" s="38"/>
      <c r="BJ380" s="38"/>
      <c r="BK380" s="38"/>
      <c r="BL380" s="38"/>
      <c r="BM380" s="38"/>
      <c r="BN380" s="38"/>
      <c r="BO380" s="38"/>
      <c r="BP380" s="38"/>
      <c r="BQ380" s="38"/>
      <c r="BR380" s="38"/>
    </row>
    <row r="381" spans="1:70">
      <c r="A381" s="38"/>
      <c r="B381" s="38"/>
      <c r="C381" s="43"/>
      <c r="D381" s="38"/>
      <c r="E381" s="38"/>
      <c r="F381" s="43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  <c r="BA381" s="38"/>
      <c r="BB381" s="38"/>
      <c r="BC381" s="38"/>
      <c r="BD381" s="38"/>
      <c r="BE381" s="38"/>
      <c r="BF381" s="38"/>
      <c r="BG381" s="38"/>
      <c r="BH381" s="38"/>
      <c r="BI381" s="38"/>
      <c r="BJ381" s="38"/>
      <c r="BK381" s="38"/>
      <c r="BL381" s="38"/>
      <c r="BM381" s="38"/>
      <c r="BN381" s="38"/>
      <c r="BO381" s="38"/>
      <c r="BP381" s="38"/>
      <c r="BQ381" s="38"/>
      <c r="BR381" s="38"/>
    </row>
    <row r="382" spans="1:70">
      <c r="A382" s="38"/>
      <c r="B382" s="38"/>
      <c r="C382" s="43"/>
      <c r="D382" s="38"/>
      <c r="E382" s="38"/>
      <c r="F382" s="43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  <c r="BA382" s="38"/>
      <c r="BB382" s="38"/>
      <c r="BC382" s="38"/>
      <c r="BD382" s="38"/>
      <c r="BE382" s="38"/>
      <c r="BF382" s="38"/>
      <c r="BG382" s="38"/>
      <c r="BH382" s="38"/>
      <c r="BI382" s="38"/>
      <c r="BJ382" s="38"/>
      <c r="BK382" s="38"/>
      <c r="BL382" s="38"/>
      <c r="BM382" s="38"/>
      <c r="BN382" s="38"/>
      <c r="BO382" s="38"/>
      <c r="BP382" s="38"/>
      <c r="BQ382" s="38"/>
      <c r="BR382" s="38"/>
    </row>
    <row r="383" spans="1:70">
      <c r="A383" s="38"/>
      <c r="B383" s="38"/>
      <c r="C383" s="43"/>
      <c r="D383" s="38"/>
      <c r="E383" s="38"/>
      <c r="F383" s="43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  <c r="BA383" s="38"/>
      <c r="BB383" s="38"/>
      <c r="BC383" s="38"/>
      <c r="BD383" s="38"/>
      <c r="BE383" s="38"/>
      <c r="BF383" s="38"/>
      <c r="BG383" s="38"/>
      <c r="BH383" s="38"/>
      <c r="BI383" s="38"/>
      <c r="BJ383" s="38"/>
      <c r="BK383" s="38"/>
      <c r="BL383" s="38"/>
      <c r="BM383" s="38"/>
      <c r="BN383" s="38"/>
      <c r="BO383" s="38"/>
      <c r="BP383" s="38"/>
      <c r="BQ383" s="38"/>
      <c r="BR383" s="38"/>
    </row>
    <row r="384" spans="1:70">
      <c r="A384" s="38"/>
      <c r="B384" s="38"/>
      <c r="C384" s="43"/>
      <c r="D384" s="38"/>
      <c r="E384" s="38"/>
      <c r="F384" s="43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  <c r="BA384" s="38"/>
      <c r="BB384" s="38"/>
      <c r="BC384" s="38"/>
      <c r="BD384" s="38"/>
      <c r="BE384" s="38"/>
      <c r="BF384" s="38"/>
      <c r="BG384" s="38"/>
      <c r="BH384" s="38"/>
      <c r="BI384" s="38"/>
      <c r="BJ384" s="38"/>
      <c r="BK384" s="38"/>
      <c r="BL384" s="38"/>
      <c r="BM384" s="38"/>
      <c r="BN384" s="38"/>
      <c r="BO384" s="38"/>
      <c r="BP384" s="38"/>
      <c r="BQ384" s="38"/>
      <c r="BR384" s="38"/>
    </row>
    <row r="385" spans="1:70">
      <c r="A385" s="38"/>
      <c r="B385" s="38"/>
      <c r="C385" s="43"/>
      <c r="D385" s="38"/>
      <c r="E385" s="38"/>
      <c r="F385" s="43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  <c r="BA385" s="38"/>
      <c r="BB385" s="38"/>
      <c r="BC385" s="38"/>
      <c r="BD385" s="38"/>
      <c r="BE385" s="38"/>
      <c r="BF385" s="38"/>
      <c r="BG385" s="38"/>
      <c r="BH385" s="38"/>
      <c r="BI385" s="38"/>
      <c r="BJ385" s="38"/>
      <c r="BK385" s="38"/>
      <c r="BL385" s="38"/>
      <c r="BM385" s="38"/>
      <c r="BN385" s="38"/>
      <c r="BO385" s="38"/>
      <c r="BP385" s="38"/>
      <c r="BQ385" s="38"/>
      <c r="BR385" s="38"/>
    </row>
    <row r="386" spans="1:70">
      <c r="A386" s="38"/>
      <c r="B386" s="38"/>
      <c r="C386" s="43"/>
      <c r="D386" s="38"/>
      <c r="E386" s="38"/>
      <c r="F386" s="43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  <c r="BA386" s="38"/>
      <c r="BB386" s="38"/>
      <c r="BC386" s="38"/>
      <c r="BD386" s="38"/>
      <c r="BE386" s="38"/>
      <c r="BF386" s="38"/>
      <c r="BG386" s="38"/>
      <c r="BH386" s="38"/>
      <c r="BI386" s="38"/>
      <c r="BJ386" s="38"/>
      <c r="BK386" s="38"/>
      <c r="BL386" s="38"/>
      <c r="BM386" s="38"/>
      <c r="BN386" s="38"/>
      <c r="BO386" s="38"/>
      <c r="BP386" s="38"/>
      <c r="BQ386" s="38"/>
      <c r="BR386" s="38"/>
    </row>
    <row r="387" spans="1:70">
      <c r="A387" s="38"/>
      <c r="B387" s="38"/>
      <c r="C387" s="43"/>
      <c r="D387" s="38"/>
      <c r="E387" s="38"/>
      <c r="F387" s="43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  <c r="BA387" s="38"/>
      <c r="BB387" s="38"/>
      <c r="BC387" s="38"/>
      <c r="BD387" s="38"/>
      <c r="BE387" s="38"/>
      <c r="BF387" s="38"/>
      <c r="BG387" s="38"/>
      <c r="BH387" s="38"/>
      <c r="BI387" s="38"/>
      <c r="BJ387" s="38"/>
      <c r="BK387" s="38"/>
      <c r="BL387" s="38"/>
      <c r="BM387" s="38"/>
      <c r="BN387" s="38"/>
      <c r="BO387" s="38"/>
      <c r="BP387" s="38"/>
      <c r="BQ387" s="38"/>
      <c r="BR387" s="38"/>
    </row>
    <row r="388" spans="1:70">
      <c r="A388" s="38"/>
      <c r="B388" s="38"/>
      <c r="C388" s="43"/>
      <c r="D388" s="38"/>
      <c r="E388" s="38"/>
      <c r="F388" s="43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8"/>
      <c r="AJ388" s="38"/>
      <c r="AK388" s="38"/>
      <c r="AL388" s="38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  <c r="BA388" s="38"/>
      <c r="BB388" s="38"/>
      <c r="BC388" s="38"/>
      <c r="BD388" s="38"/>
      <c r="BE388" s="38"/>
      <c r="BF388" s="38"/>
      <c r="BG388" s="38"/>
      <c r="BH388" s="38"/>
      <c r="BI388" s="38"/>
      <c r="BJ388" s="38"/>
      <c r="BK388" s="38"/>
      <c r="BL388" s="38"/>
      <c r="BM388" s="38"/>
      <c r="BN388" s="38"/>
      <c r="BO388" s="38"/>
      <c r="BP388" s="38"/>
      <c r="BQ388" s="38"/>
      <c r="BR388" s="38"/>
    </row>
    <row r="389" spans="1:70">
      <c r="A389" s="38"/>
      <c r="B389" s="38"/>
      <c r="C389" s="43"/>
      <c r="D389" s="38"/>
      <c r="E389" s="38"/>
      <c r="F389" s="43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  <c r="BA389" s="38"/>
      <c r="BB389" s="38"/>
      <c r="BC389" s="38"/>
      <c r="BD389" s="38"/>
      <c r="BE389" s="38"/>
      <c r="BF389" s="38"/>
      <c r="BG389" s="38"/>
      <c r="BH389" s="38"/>
      <c r="BI389" s="38"/>
      <c r="BJ389" s="38"/>
      <c r="BK389" s="38"/>
      <c r="BL389" s="38"/>
      <c r="BM389" s="38"/>
      <c r="BN389" s="38"/>
      <c r="BO389" s="38"/>
      <c r="BP389" s="38"/>
      <c r="BQ389" s="38"/>
      <c r="BR389" s="38"/>
    </row>
    <row r="390" spans="1:70">
      <c r="A390" s="38"/>
      <c r="B390" s="38"/>
      <c r="C390" s="43"/>
      <c r="D390" s="38"/>
      <c r="E390" s="38"/>
      <c r="F390" s="43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  <c r="BA390" s="38"/>
      <c r="BB390" s="38"/>
      <c r="BC390" s="38"/>
      <c r="BD390" s="38"/>
      <c r="BE390" s="38"/>
      <c r="BF390" s="38"/>
      <c r="BG390" s="38"/>
      <c r="BH390" s="38"/>
      <c r="BI390" s="38"/>
      <c r="BJ390" s="38"/>
      <c r="BK390" s="38"/>
      <c r="BL390" s="38"/>
      <c r="BM390" s="38"/>
      <c r="BN390" s="38"/>
      <c r="BO390" s="38"/>
      <c r="BP390" s="38"/>
      <c r="BQ390" s="38"/>
      <c r="BR390" s="38"/>
    </row>
    <row r="391" spans="1:70">
      <c r="A391" s="38"/>
      <c r="B391" s="38"/>
      <c r="C391" s="43"/>
      <c r="D391" s="38"/>
      <c r="E391" s="38"/>
      <c r="F391" s="43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  <c r="BA391" s="38"/>
      <c r="BB391" s="38"/>
      <c r="BC391" s="38"/>
      <c r="BD391" s="38"/>
      <c r="BE391" s="38"/>
      <c r="BF391" s="38"/>
      <c r="BG391" s="38"/>
      <c r="BH391" s="38"/>
      <c r="BI391" s="38"/>
      <c r="BJ391" s="38"/>
      <c r="BK391" s="38"/>
      <c r="BL391" s="38"/>
      <c r="BM391" s="38"/>
      <c r="BN391" s="38"/>
      <c r="BO391" s="38"/>
      <c r="BP391" s="38"/>
      <c r="BQ391" s="38"/>
      <c r="BR391" s="38"/>
    </row>
    <row r="392" spans="1:70">
      <c r="A392" s="38"/>
      <c r="B392" s="38"/>
      <c r="C392" s="43"/>
      <c r="D392" s="38"/>
      <c r="E392" s="38"/>
      <c r="F392" s="43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  <c r="BA392" s="38"/>
      <c r="BB392" s="38"/>
      <c r="BC392" s="38"/>
      <c r="BD392" s="38"/>
      <c r="BE392" s="38"/>
      <c r="BF392" s="38"/>
      <c r="BG392" s="38"/>
      <c r="BH392" s="38"/>
      <c r="BI392" s="38"/>
      <c r="BJ392" s="38"/>
      <c r="BK392" s="38"/>
      <c r="BL392" s="38"/>
      <c r="BM392" s="38"/>
      <c r="BN392" s="38"/>
      <c r="BO392" s="38"/>
      <c r="BP392" s="38"/>
      <c r="BQ392" s="38"/>
      <c r="BR392" s="38"/>
    </row>
    <row r="393" spans="1:70">
      <c r="A393" s="38"/>
      <c r="B393" s="38"/>
      <c r="C393" s="43"/>
      <c r="D393" s="38"/>
      <c r="E393" s="38"/>
      <c r="F393" s="43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  <c r="BA393" s="38"/>
      <c r="BB393" s="38"/>
      <c r="BC393" s="38"/>
      <c r="BD393" s="38"/>
      <c r="BE393" s="38"/>
      <c r="BF393" s="38"/>
      <c r="BG393" s="38"/>
      <c r="BH393" s="38"/>
      <c r="BI393" s="38"/>
      <c r="BJ393" s="38"/>
      <c r="BK393" s="38"/>
      <c r="BL393" s="38"/>
      <c r="BM393" s="38"/>
      <c r="BN393" s="38"/>
      <c r="BO393" s="38"/>
      <c r="BP393" s="38"/>
      <c r="BQ393" s="38"/>
      <c r="BR393" s="38"/>
    </row>
    <row r="394" spans="1:70">
      <c r="A394" s="38"/>
      <c r="B394" s="38"/>
      <c r="C394" s="43"/>
      <c r="D394" s="38"/>
      <c r="E394" s="38"/>
      <c r="F394" s="43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  <c r="BA394" s="38"/>
      <c r="BB394" s="38"/>
      <c r="BC394" s="38"/>
      <c r="BD394" s="38"/>
      <c r="BE394" s="38"/>
      <c r="BF394" s="38"/>
      <c r="BG394" s="38"/>
      <c r="BH394" s="38"/>
      <c r="BI394" s="38"/>
      <c r="BJ394" s="38"/>
      <c r="BK394" s="38"/>
      <c r="BL394" s="38"/>
      <c r="BM394" s="38"/>
      <c r="BN394" s="38"/>
      <c r="BO394" s="38"/>
      <c r="BP394" s="38"/>
      <c r="BQ394" s="38"/>
      <c r="BR394" s="38"/>
    </row>
    <row r="395" spans="1:70">
      <c r="A395" s="38"/>
      <c r="B395" s="38"/>
      <c r="C395" s="43"/>
      <c r="D395" s="38"/>
      <c r="E395" s="38"/>
      <c r="F395" s="43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  <c r="BA395" s="38"/>
      <c r="BB395" s="38"/>
      <c r="BC395" s="38"/>
      <c r="BD395" s="38"/>
      <c r="BE395" s="38"/>
      <c r="BF395" s="38"/>
      <c r="BG395" s="38"/>
      <c r="BH395" s="38"/>
      <c r="BI395" s="38"/>
      <c r="BJ395" s="38"/>
      <c r="BK395" s="38"/>
      <c r="BL395" s="38"/>
      <c r="BM395" s="38"/>
      <c r="BN395" s="38"/>
      <c r="BO395" s="38"/>
      <c r="BP395" s="38"/>
      <c r="BQ395" s="38"/>
      <c r="BR395" s="38"/>
    </row>
    <row r="396" spans="1:70">
      <c r="A396" s="38"/>
      <c r="B396" s="38"/>
      <c r="C396" s="43"/>
      <c r="D396" s="38"/>
      <c r="E396" s="38"/>
      <c r="F396" s="43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  <c r="BA396" s="38"/>
      <c r="BB396" s="38"/>
      <c r="BC396" s="38"/>
      <c r="BD396" s="38"/>
      <c r="BE396" s="38"/>
      <c r="BF396" s="38"/>
      <c r="BG396" s="38"/>
      <c r="BH396" s="38"/>
      <c r="BI396" s="38"/>
      <c r="BJ396" s="38"/>
      <c r="BK396" s="38"/>
      <c r="BL396" s="38"/>
      <c r="BM396" s="38"/>
      <c r="BN396" s="38"/>
      <c r="BO396" s="38"/>
      <c r="BP396" s="38"/>
      <c r="BQ396" s="38"/>
      <c r="BR396" s="38"/>
    </row>
    <row r="397" spans="1:70">
      <c r="A397" s="38"/>
      <c r="B397" s="38"/>
      <c r="C397" s="43"/>
      <c r="D397" s="38"/>
      <c r="E397" s="38"/>
      <c r="F397" s="43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  <c r="BA397" s="38"/>
      <c r="BB397" s="38"/>
      <c r="BC397" s="38"/>
      <c r="BD397" s="38"/>
      <c r="BE397" s="38"/>
      <c r="BF397" s="38"/>
      <c r="BG397" s="38"/>
      <c r="BH397" s="38"/>
      <c r="BI397" s="38"/>
      <c r="BJ397" s="38"/>
      <c r="BK397" s="38"/>
      <c r="BL397" s="38"/>
      <c r="BM397" s="38"/>
      <c r="BN397" s="38"/>
      <c r="BO397" s="38"/>
      <c r="BP397" s="38"/>
      <c r="BQ397" s="38"/>
      <c r="BR397" s="38"/>
    </row>
    <row r="398" spans="1:70">
      <c r="A398" s="38"/>
      <c r="B398" s="38"/>
      <c r="C398" s="43"/>
      <c r="D398" s="38"/>
      <c r="E398" s="38"/>
      <c r="F398" s="43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  <c r="BA398" s="38"/>
      <c r="BB398" s="38"/>
      <c r="BC398" s="38"/>
      <c r="BD398" s="38"/>
      <c r="BE398" s="38"/>
      <c r="BF398" s="38"/>
      <c r="BG398" s="38"/>
      <c r="BH398" s="38"/>
      <c r="BI398" s="38"/>
      <c r="BJ398" s="38"/>
      <c r="BK398" s="38"/>
      <c r="BL398" s="38"/>
      <c r="BM398" s="38"/>
      <c r="BN398" s="38"/>
      <c r="BO398" s="38"/>
      <c r="BP398" s="38"/>
      <c r="BQ398" s="38"/>
      <c r="BR398" s="38"/>
    </row>
    <row r="399" spans="1:70">
      <c r="A399" s="38"/>
      <c r="B399" s="38"/>
      <c r="C399" s="43"/>
      <c r="D399" s="38"/>
      <c r="E399" s="38"/>
      <c r="F399" s="43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  <c r="BA399" s="38"/>
      <c r="BB399" s="38"/>
      <c r="BC399" s="38"/>
      <c r="BD399" s="38"/>
      <c r="BE399" s="38"/>
      <c r="BF399" s="38"/>
      <c r="BG399" s="38"/>
      <c r="BH399" s="38"/>
      <c r="BI399" s="38"/>
      <c r="BJ399" s="38"/>
      <c r="BK399" s="38"/>
      <c r="BL399" s="38"/>
      <c r="BM399" s="38"/>
      <c r="BN399" s="38"/>
      <c r="BO399" s="38"/>
      <c r="BP399" s="38"/>
      <c r="BQ399" s="38"/>
      <c r="BR399" s="38"/>
    </row>
    <row r="400" spans="1:70">
      <c r="A400" s="38"/>
      <c r="B400" s="38"/>
      <c r="C400" s="43"/>
      <c r="D400" s="38"/>
      <c r="E400" s="38"/>
      <c r="F400" s="43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8"/>
      <c r="AJ400" s="38"/>
      <c r="AK400" s="38"/>
      <c r="AL400" s="38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  <c r="BA400" s="38"/>
      <c r="BB400" s="38"/>
      <c r="BC400" s="38"/>
      <c r="BD400" s="38"/>
      <c r="BE400" s="38"/>
      <c r="BF400" s="38"/>
      <c r="BG400" s="38"/>
      <c r="BH400" s="38"/>
      <c r="BI400" s="38"/>
      <c r="BJ400" s="38"/>
      <c r="BK400" s="38"/>
      <c r="BL400" s="38"/>
      <c r="BM400" s="38"/>
      <c r="BN400" s="38"/>
      <c r="BO400" s="38"/>
      <c r="BP400" s="38"/>
      <c r="BQ400" s="38"/>
      <c r="BR400" s="38"/>
    </row>
    <row r="401" spans="1:70">
      <c r="A401" s="38"/>
      <c r="B401" s="38"/>
      <c r="C401" s="43"/>
      <c r="D401" s="38"/>
      <c r="E401" s="38"/>
      <c r="F401" s="43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/>
      <c r="AJ401" s="38"/>
      <c r="AK401" s="38"/>
      <c r="AL401" s="38"/>
      <c r="AM401" s="38"/>
      <c r="AN401" s="38"/>
      <c r="AO401" s="38"/>
      <c r="AP401" s="38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  <c r="BA401" s="38"/>
      <c r="BB401" s="38"/>
      <c r="BC401" s="38"/>
      <c r="BD401" s="38"/>
      <c r="BE401" s="38"/>
      <c r="BF401" s="38"/>
      <c r="BG401" s="38"/>
      <c r="BH401" s="38"/>
      <c r="BI401" s="38"/>
      <c r="BJ401" s="38"/>
      <c r="BK401" s="38"/>
      <c r="BL401" s="38"/>
      <c r="BM401" s="38"/>
      <c r="BN401" s="38"/>
      <c r="BO401" s="38"/>
      <c r="BP401" s="38"/>
      <c r="BQ401" s="38"/>
      <c r="BR401" s="38"/>
    </row>
    <row r="402" spans="1:70">
      <c r="A402" s="38"/>
      <c r="B402" s="38"/>
      <c r="C402" s="43"/>
      <c r="D402" s="38"/>
      <c r="E402" s="38"/>
      <c r="F402" s="43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  <c r="BA402" s="38"/>
      <c r="BB402" s="38"/>
      <c r="BC402" s="38"/>
      <c r="BD402" s="38"/>
      <c r="BE402" s="38"/>
      <c r="BF402" s="38"/>
      <c r="BG402" s="38"/>
      <c r="BH402" s="38"/>
      <c r="BI402" s="38"/>
      <c r="BJ402" s="38"/>
      <c r="BK402" s="38"/>
      <c r="BL402" s="38"/>
      <c r="BM402" s="38"/>
      <c r="BN402" s="38"/>
      <c r="BO402" s="38"/>
      <c r="BP402" s="38"/>
      <c r="BQ402" s="38"/>
      <c r="BR402" s="38"/>
    </row>
    <row r="403" spans="1:70">
      <c r="A403" s="38"/>
      <c r="B403" s="38"/>
      <c r="C403" s="43"/>
      <c r="D403" s="38"/>
      <c r="E403" s="38"/>
      <c r="F403" s="43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8"/>
      <c r="AJ403" s="38"/>
      <c r="AK403" s="38"/>
      <c r="AL403" s="38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  <c r="BA403" s="38"/>
      <c r="BB403" s="38"/>
      <c r="BC403" s="38"/>
      <c r="BD403" s="38"/>
      <c r="BE403" s="38"/>
      <c r="BF403" s="38"/>
      <c r="BG403" s="38"/>
      <c r="BH403" s="38"/>
      <c r="BI403" s="38"/>
      <c r="BJ403" s="38"/>
      <c r="BK403" s="38"/>
      <c r="BL403" s="38"/>
      <c r="BM403" s="38"/>
      <c r="BN403" s="38"/>
      <c r="BO403" s="38"/>
      <c r="BP403" s="38"/>
      <c r="BQ403" s="38"/>
      <c r="BR403" s="38"/>
    </row>
    <row r="404" spans="1:70">
      <c r="A404" s="38"/>
      <c r="B404" s="38"/>
      <c r="C404" s="43"/>
      <c r="D404" s="38"/>
      <c r="E404" s="38"/>
      <c r="F404" s="43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  <c r="AN404" s="38"/>
      <c r="AO404" s="38"/>
      <c r="AP404" s="38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  <c r="BA404" s="38"/>
      <c r="BB404" s="38"/>
      <c r="BC404" s="38"/>
      <c r="BD404" s="38"/>
      <c r="BE404" s="38"/>
      <c r="BF404" s="38"/>
      <c r="BG404" s="38"/>
      <c r="BH404" s="38"/>
      <c r="BI404" s="38"/>
      <c r="BJ404" s="38"/>
      <c r="BK404" s="38"/>
      <c r="BL404" s="38"/>
      <c r="BM404" s="38"/>
      <c r="BN404" s="38"/>
      <c r="BO404" s="38"/>
      <c r="BP404" s="38"/>
      <c r="BQ404" s="38"/>
      <c r="BR404" s="38"/>
    </row>
    <row r="405" spans="1:70">
      <c r="A405" s="38"/>
      <c r="B405" s="38"/>
      <c r="C405" s="43"/>
      <c r="D405" s="38"/>
      <c r="E405" s="38"/>
      <c r="F405" s="43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  <c r="BA405" s="38"/>
      <c r="BB405" s="38"/>
      <c r="BC405" s="38"/>
      <c r="BD405" s="38"/>
      <c r="BE405" s="38"/>
      <c r="BF405" s="38"/>
      <c r="BG405" s="38"/>
      <c r="BH405" s="38"/>
      <c r="BI405" s="38"/>
      <c r="BJ405" s="38"/>
      <c r="BK405" s="38"/>
      <c r="BL405" s="38"/>
      <c r="BM405" s="38"/>
      <c r="BN405" s="38"/>
      <c r="BO405" s="38"/>
      <c r="BP405" s="38"/>
      <c r="BQ405" s="38"/>
      <c r="BR405" s="38"/>
    </row>
    <row r="406" spans="1:70">
      <c r="A406" s="38"/>
      <c r="B406" s="38"/>
      <c r="C406" s="43"/>
      <c r="D406" s="38"/>
      <c r="E406" s="38"/>
      <c r="F406" s="43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8"/>
      <c r="AJ406" s="38"/>
      <c r="AK406" s="38"/>
      <c r="AL406" s="38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  <c r="BA406" s="38"/>
      <c r="BB406" s="38"/>
      <c r="BC406" s="38"/>
      <c r="BD406" s="38"/>
      <c r="BE406" s="38"/>
      <c r="BF406" s="38"/>
      <c r="BG406" s="38"/>
      <c r="BH406" s="38"/>
      <c r="BI406" s="38"/>
      <c r="BJ406" s="38"/>
      <c r="BK406" s="38"/>
      <c r="BL406" s="38"/>
      <c r="BM406" s="38"/>
      <c r="BN406" s="38"/>
      <c r="BO406" s="38"/>
      <c r="BP406" s="38"/>
      <c r="BQ406" s="38"/>
      <c r="BR406" s="38"/>
    </row>
    <row r="407" spans="1:70">
      <c r="A407" s="38"/>
      <c r="B407" s="38"/>
      <c r="C407" s="43"/>
      <c r="D407" s="38"/>
      <c r="E407" s="38"/>
      <c r="F407" s="43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  <c r="AN407" s="38"/>
      <c r="AO407" s="38"/>
      <c r="AP407" s="38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  <c r="BA407" s="38"/>
      <c r="BB407" s="38"/>
      <c r="BC407" s="38"/>
      <c r="BD407" s="38"/>
      <c r="BE407" s="38"/>
      <c r="BF407" s="38"/>
      <c r="BG407" s="38"/>
      <c r="BH407" s="38"/>
      <c r="BI407" s="38"/>
      <c r="BJ407" s="38"/>
      <c r="BK407" s="38"/>
      <c r="BL407" s="38"/>
      <c r="BM407" s="38"/>
      <c r="BN407" s="38"/>
      <c r="BO407" s="38"/>
      <c r="BP407" s="38"/>
      <c r="BQ407" s="38"/>
      <c r="BR407" s="38"/>
    </row>
    <row r="408" spans="1:70">
      <c r="A408" s="38"/>
      <c r="B408" s="38"/>
      <c r="C408" s="43"/>
      <c r="D408" s="38"/>
      <c r="E408" s="38"/>
      <c r="F408" s="43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/>
      <c r="AJ408" s="38"/>
      <c r="AK408" s="38"/>
      <c r="AL408" s="38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  <c r="BA408" s="38"/>
      <c r="BB408" s="38"/>
      <c r="BC408" s="38"/>
      <c r="BD408" s="38"/>
      <c r="BE408" s="38"/>
      <c r="BF408" s="38"/>
      <c r="BG408" s="38"/>
      <c r="BH408" s="38"/>
      <c r="BI408" s="38"/>
      <c r="BJ408" s="38"/>
      <c r="BK408" s="38"/>
      <c r="BL408" s="38"/>
      <c r="BM408" s="38"/>
      <c r="BN408" s="38"/>
      <c r="BO408" s="38"/>
      <c r="BP408" s="38"/>
      <c r="BQ408" s="38"/>
      <c r="BR408" s="38"/>
    </row>
    <row r="409" spans="1:70">
      <c r="A409" s="38"/>
      <c r="B409" s="38"/>
      <c r="C409" s="43"/>
      <c r="D409" s="38"/>
      <c r="E409" s="38"/>
      <c r="F409" s="43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8"/>
      <c r="AJ409" s="38"/>
      <c r="AK409" s="38"/>
      <c r="AL409" s="38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  <c r="BA409" s="38"/>
      <c r="BB409" s="38"/>
      <c r="BC409" s="38"/>
      <c r="BD409" s="38"/>
      <c r="BE409" s="38"/>
      <c r="BF409" s="38"/>
      <c r="BG409" s="38"/>
      <c r="BH409" s="38"/>
      <c r="BI409" s="38"/>
      <c r="BJ409" s="38"/>
      <c r="BK409" s="38"/>
      <c r="BL409" s="38"/>
      <c r="BM409" s="38"/>
      <c r="BN409" s="38"/>
      <c r="BO409" s="38"/>
      <c r="BP409" s="38"/>
      <c r="BQ409" s="38"/>
      <c r="BR409" s="38"/>
    </row>
    <row r="410" spans="1:70">
      <c r="A410" s="38"/>
      <c r="B410" s="38"/>
      <c r="C410" s="43"/>
      <c r="D410" s="38"/>
      <c r="E410" s="38"/>
      <c r="F410" s="43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  <c r="AN410" s="38"/>
      <c r="AO410" s="38"/>
      <c r="AP410" s="38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  <c r="BA410" s="38"/>
      <c r="BB410" s="38"/>
      <c r="BC410" s="38"/>
      <c r="BD410" s="38"/>
      <c r="BE410" s="38"/>
      <c r="BF410" s="38"/>
      <c r="BG410" s="38"/>
      <c r="BH410" s="38"/>
      <c r="BI410" s="38"/>
      <c r="BJ410" s="38"/>
      <c r="BK410" s="38"/>
      <c r="BL410" s="38"/>
      <c r="BM410" s="38"/>
      <c r="BN410" s="38"/>
      <c r="BO410" s="38"/>
      <c r="BP410" s="38"/>
      <c r="BQ410" s="38"/>
      <c r="BR410" s="38"/>
    </row>
    <row r="411" spans="1:70">
      <c r="A411" s="38"/>
      <c r="B411" s="38"/>
      <c r="C411" s="43"/>
      <c r="D411" s="38"/>
      <c r="E411" s="38"/>
      <c r="F411" s="43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  <c r="BA411" s="38"/>
      <c r="BB411" s="38"/>
      <c r="BC411" s="38"/>
      <c r="BD411" s="38"/>
      <c r="BE411" s="38"/>
      <c r="BF411" s="38"/>
      <c r="BG411" s="38"/>
      <c r="BH411" s="38"/>
      <c r="BI411" s="38"/>
      <c r="BJ411" s="38"/>
      <c r="BK411" s="38"/>
      <c r="BL411" s="38"/>
      <c r="BM411" s="38"/>
      <c r="BN411" s="38"/>
      <c r="BO411" s="38"/>
      <c r="BP411" s="38"/>
      <c r="BQ411" s="38"/>
      <c r="BR411" s="38"/>
    </row>
    <row r="412" spans="1:70">
      <c r="A412" s="38"/>
      <c r="B412" s="38"/>
      <c r="C412" s="43"/>
      <c r="D412" s="38"/>
      <c r="E412" s="38"/>
      <c r="F412" s="43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8"/>
      <c r="AJ412" s="38"/>
      <c r="AK412" s="38"/>
      <c r="AL412" s="38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  <c r="BA412" s="38"/>
      <c r="BB412" s="38"/>
      <c r="BC412" s="38"/>
      <c r="BD412" s="38"/>
      <c r="BE412" s="38"/>
      <c r="BF412" s="38"/>
      <c r="BG412" s="38"/>
      <c r="BH412" s="38"/>
      <c r="BI412" s="38"/>
      <c r="BJ412" s="38"/>
      <c r="BK412" s="38"/>
      <c r="BL412" s="38"/>
      <c r="BM412" s="38"/>
      <c r="BN412" s="38"/>
      <c r="BO412" s="38"/>
      <c r="BP412" s="38"/>
      <c r="BQ412" s="38"/>
      <c r="BR412" s="38"/>
    </row>
    <row r="413" spans="1:70">
      <c r="A413" s="38"/>
      <c r="B413" s="38"/>
      <c r="C413" s="43"/>
      <c r="D413" s="38"/>
      <c r="E413" s="38"/>
      <c r="F413" s="43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  <c r="AN413" s="38"/>
      <c r="AO413" s="38"/>
      <c r="AP413" s="38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  <c r="BA413" s="38"/>
      <c r="BB413" s="38"/>
      <c r="BC413" s="38"/>
      <c r="BD413" s="38"/>
      <c r="BE413" s="38"/>
      <c r="BF413" s="38"/>
      <c r="BG413" s="38"/>
      <c r="BH413" s="38"/>
      <c r="BI413" s="38"/>
      <c r="BJ413" s="38"/>
      <c r="BK413" s="38"/>
      <c r="BL413" s="38"/>
      <c r="BM413" s="38"/>
      <c r="BN413" s="38"/>
      <c r="BO413" s="38"/>
      <c r="BP413" s="38"/>
      <c r="BQ413" s="38"/>
      <c r="BR413" s="38"/>
    </row>
    <row r="414" spans="1:70">
      <c r="A414" s="38"/>
      <c r="B414" s="38"/>
      <c r="C414" s="43"/>
      <c r="D414" s="38"/>
      <c r="E414" s="38"/>
      <c r="F414" s="43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  <c r="BA414" s="38"/>
      <c r="BB414" s="38"/>
      <c r="BC414" s="38"/>
      <c r="BD414" s="38"/>
      <c r="BE414" s="38"/>
      <c r="BF414" s="38"/>
      <c r="BG414" s="38"/>
      <c r="BH414" s="38"/>
      <c r="BI414" s="38"/>
      <c r="BJ414" s="38"/>
      <c r="BK414" s="38"/>
      <c r="BL414" s="38"/>
      <c r="BM414" s="38"/>
      <c r="BN414" s="38"/>
      <c r="BO414" s="38"/>
      <c r="BP414" s="38"/>
      <c r="BQ414" s="38"/>
      <c r="BR414" s="38"/>
    </row>
    <row r="415" spans="1:70">
      <c r="A415" s="38"/>
      <c r="B415" s="38"/>
      <c r="C415" s="43"/>
      <c r="D415" s="38"/>
      <c r="E415" s="38"/>
      <c r="F415" s="43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8"/>
      <c r="AJ415" s="38"/>
      <c r="AK415" s="38"/>
      <c r="AL415" s="38"/>
      <c r="AM415" s="38"/>
      <c r="AN415" s="38"/>
      <c r="AO415" s="38"/>
      <c r="AP415" s="38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  <c r="BA415" s="38"/>
      <c r="BB415" s="38"/>
      <c r="BC415" s="38"/>
      <c r="BD415" s="38"/>
      <c r="BE415" s="38"/>
      <c r="BF415" s="38"/>
      <c r="BG415" s="38"/>
      <c r="BH415" s="38"/>
      <c r="BI415" s="38"/>
      <c r="BJ415" s="38"/>
      <c r="BK415" s="38"/>
      <c r="BL415" s="38"/>
      <c r="BM415" s="38"/>
      <c r="BN415" s="38"/>
      <c r="BO415" s="38"/>
      <c r="BP415" s="38"/>
      <c r="BQ415" s="38"/>
      <c r="BR415" s="38"/>
    </row>
    <row r="416" spans="1:70">
      <c r="A416" s="38"/>
      <c r="B416" s="38"/>
      <c r="C416" s="43"/>
      <c r="D416" s="38"/>
      <c r="E416" s="38"/>
      <c r="F416" s="43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8"/>
      <c r="AJ416" s="38"/>
      <c r="AK416" s="38"/>
      <c r="AL416" s="38"/>
      <c r="AM416" s="38"/>
      <c r="AN416" s="38"/>
      <c r="AO416" s="38"/>
      <c r="AP416" s="38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  <c r="BA416" s="38"/>
      <c r="BB416" s="38"/>
      <c r="BC416" s="38"/>
      <c r="BD416" s="38"/>
      <c r="BE416" s="38"/>
      <c r="BF416" s="38"/>
      <c r="BG416" s="38"/>
      <c r="BH416" s="38"/>
      <c r="BI416" s="38"/>
      <c r="BJ416" s="38"/>
      <c r="BK416" s="38"/>
      <c r="BL416" s="38"/>
      <c r="BM416" s="38"/>
      <c r="BN416" s="38"/>
      <c r="BO416" s="38"/>
      <c r="BP416" s="38"/>
      <c r="BQ416" s="38"/>
      <c r="BR416" s="38"/>
    </row>
    <row r="417" spans="1:70">
      <c r="A417" s="38"/>
      <c r="B417" s="38"/>
      <c r="C417" s="43"/>
      <c r="D417" s="38"/>
      <c r="E417" s="38"/>
      <c r="F417" s="43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  <c r="BA417" s="38"/>
      <c r="BB417" s="38"/>
      <c r="BC417" s="38"/>
      <c r="BD417" s="38"/>
      <c r="BE417" s="38"/>
      <c r="BF417" s="38"/>
      <c r="BG417" s="38"/>
      <c r="BH417" s="38"/>
      <c r="BI417" s="38"/>
      <c r="BJ417" s="38"/>
      <c r="BK417" s="38"/>
      <c r="BL417" s="38"/>
      <c r="BM417" s="38"/>
      <c r="BN417" s="38"/>
      <c r="BO417" s="38"/>
      <c r="BP417" s="38"/>
      <c r="BQ417" s="38"/>
      <c r="BR417" s="38"/>
    </row>
    <row r="418" spans="1:70">
      <c r="A418" s="38"/>
      <c r="B418" s="38"/>
      <c r="C418" s="43"/>
      <c r="D418" s="38"/>
      <c r="E418" s="38"/>
      <c r="F418" s="43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  <c r="BA418" s="38"/>
      <c r="BB418" s="38"/>
      <c r="BC418" s="38"/>
      <c r="BD418" s="38"/>
      <c r="BE418" s="38"/>
      <c r="BF418" s="38"/>
      <c r="BG418" s="38"/>
      <c r="BH418" s="38"/>
      <c r="BI418" s="38"/>
      <c r="BJ418" s="38"/>
      <c r="BK418" s="38"/>
      <c r="BL418" s="38"/>
      <c r="BM418" s="38"/>
      <c r="BN418" s="38"/>
      <c r="BO418" s="38"/>
      <c r="BP418" s="38"/>
      <c r="BQ418" s="38"/>
      <c r="BR418" s="38"/>
    </row>
    <row r="419" spans="1:70">
      <c r="A419" s="38"/>
      <c r="B419" s="38"/>
      <c r="C419" s="43"/>
      <c r="D419" s="38"/>
      <c r="E419" s="38"/>
      <c r="F419" s="43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  <c r="AN419" s="38"/>
      <c r="AO419" s="38"/>
      <c r="AP419" s="38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  <c r="BA419" s="38"/>
      <c r="BB419" s="38"/>
      <c r="BC419" s="38"/>
      <c r="BD419" s="38"/>
      <c r="BE419" s="38"/>
      <c r="BF419" s="38"/>
      <c r="BG419" s="38"/>
      <c r="BH419" s="38"/>
      <c r="BI419" s="38"/>
      <c r="BJ419" s="38"/>
      <c r="BK419" s="38"/>
      <c r="BL419" s="38"/>
      <c r="BM419" s="38"/>
      <c r="BN419" s="38"/>
      <c r="BO419" s="38"/>
      <c r="BP419" s="38"/>
      <c r="BQ419" s="38"/>
      <c r="BR419" s="38"/>
    </row>
    <row r="420" spans="1:70">
      <c r="A420" s="38"/>
      <c r="B420" s="38"/>
      <c r="C420" s="43"/>
      <c r="D420" s="38"/>
      <c r="E420" s="38"/>
      <c r="F420" s="43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  <c r="BA420" s="38"/>
      <c r="BB420" s="38"/>
      <c r="BC420" s="38"/>
      <c r="BD420" s="38"/>
      <c r="BE420" s="38"/>
      <c r="BF420" s="38"/>
      <c r="BG420" s="38"/>
      <c r="BH420" s="38"/>
      <c r="BI420" s="38"/>
      <c r="BJ420" s="38"/>
      <c r="BK420" s="38"/>
      <c r="BL420" s="38"/>
      <c r="BM420" s="38"/>
      <c r="BN420" s="38"/>
      <c r="BO420" s="38"/>
      <c r="BP420" s="38"/>
      <c r="BQ420" s="38"/>
      <c r="BR420" s="38"/>
    </row>
    <row r="421" spans="1:70">
      <c r="A421" s="38"/>
      <c r="B421" s="38"/>
      <c r="C421" s="43"/>
      <c r="D421" s="38"/>
      <c r="E421" s="38"/>
      <c r="F421" s="43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8"/>
      <c r="AJ421" s="38"/>
      <c r="AK421" s="38"/>
      <c r="AL421" s="38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  <c r="BA421" s="38"/>
      <c r="BB421" s="38"/>
      <c r="BC421" s="38"/>
      <c r="BD421" s="38"/>
      <c r="BE421" s="38"/>
      <c r="BF421" s="38"/>
      <c r="BG421" s="38"/>
      <c r="BH421" s="38"/>
      <c r="BI421" s="38"/>
      <c r="BJ421" s="38"/>
      <c r="BK421" s="38"/>
      <c r="BL421" s="38"/>
      <c r="BM421" s="38"/>
      <c r="BN421" s="38"/>
      <c r="BO421" s="38"/>
      <c r="BP421" s="38"/>
      <c r="BQ421" s="38"/>
      <c r="BR421" s="38"/>
    </row>
    <row r="422" spans="1:70">
      <c r="A422" s="38"/>
      <c r="B422" s="38"/>
      <c r="C422" s="43"/>
      <c r="D422" s="38"/>
      <c r="E422" s="38"/>
      <c r="F422" s="43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  <c r="AN422" s="38"/>
      <c r="AO422" s="38"/>
      <c r="AP422" s="38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  <c r="BA422" s="38"/>
      <c r="BB422" s="38"/>
      <c r="BC422" s="38"/>
      <c r="BD422" s="38"/>
      <c r="BE422" s="38"/>
      <c r="BF422" s="38"/>
      <c r="BG422" s="38"/>
      <c r="BH422" s="38"/>
      <c r="BI422" s="38"/>
      <c r="BJ422" s="38"/>
      <c r="BK422" s="38"/>
      <c r="BL422" s="38"/>
      <c r="BM422" s="38"/>
      <c r="BN422" s="38"/>
      <c r="BO422" s="38"/>
      <c r="BP422" s="38"/>
      <c r="BQ422" s="38"/>
      <c r="BR422" s="38"/>
    </row>
    <row r="423" spans="1:70">
      <c r="A423" s="38"/>
      <c r="B423" s="38"/>
      <c r="C423" s="43"/>
      <c r="D423" s="38"/>
      <c r="E423" s="38"/>
      <c r="F423" s="43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  <c r="BA423" s="38"/>
      <c r="BB423" s="38"/>
      <c r="BC423" s="38"/>
      <c r="BD423" s="38"/>
      <c r="BE423" s="38"/>
      <c r="BF423" s="38"/>
      <c r="BG423" s="38"/>
      <c r="BH423" s="38"/>
      <c r="BI423" s="38"/>
      <c r="BJ423" s="38"/>
      <c r="BK423" s="38"/>
      <c r="BL423" s="38"/>
      <c r="BM423" s="38"/>
      <c r="BN423" s="38"/>
      <c r="BO423" s="38"/>
      <c r="BP423" s="38"/>
      <c r="BQ423" s="38"/>
      <c r="BR423" s="38"/>
    </row>
    <row r="424" spans="1:70">
      <c r="A424" s="38"/>
      <c r="B424" s="38"/>
      <c r="C424" s="43"/>
      <c r="D424" s="38"/>
      <c r="E424" s="38"/>
      <c r="F424" s="43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8"/>
      <c r="AJ424" s="38"/>
      <c r="AK424" s="38"/>
      <c r="AL424" s="38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  <c r="BA424" s="38"/>
      <c r="BB424" s="38"/>
      <c r="BC424" s="38"/>
      <c r="BD424" s="38"/>
      <c r="BE424" s="38"/>
      <c r="BF424" s="38"/>
      <c r="BG424" s="38"/>
      <c r="BH424" s="38"/>
      <c r="BI424" s="38"/>
      <c r="BJ424" s="38"/>
      <c r="BK424" s="38"/>
      <c r="BL424" s="38"/>
      <c r="BM424" s="38"/>
      <c r="BN424" s="38"/>
      <c r="BO424" s="38"/>
      <c r="BP424" s="38"/>
      <c r="BQ424" s="38"/>
      <c r="BR424" s="38"/>
    </row>
    <row r="425" spans="1:70">
      <c r="A425" s="38"/>
      <c r="B425" s="38"/>
      <c r="C425" s="43"/>
      <c r="D425" s="38"/>
      <c r="E425" s="38"/>
      <c r="F425" s="43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  <c r="AN425" s="38"/>
      <c r="AO425" s="38"/>
      <c r="AP425" s="38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  <c r="BA425" s="38"/>
      <c r="BB425" s="38"/>
      <c r="BC425" s="38"/>
      <c r="BD425" s="38"/>
      <c r="BE425" s="38"/>
      <c r="BF425" s="38"/>
      <c r="BG425" s="38"/>
      <c r="BH425" s="38"/>
      <c r="BI425" s="38"/>
      <c r="BJ425" s="38"/>
      <c r="BK425" s="38"/>
      <c r="BL425" s="38"/>
      <c r="BM425" s="38"/>
      <c r="BN425" s="38"/>
      <c r="BO425" s="38"/>
      <c r="BP425" s="38"/>
      <c r="BQ425" s="38"/>
      <c r="BR425" s="38"/>
    </row>
    <row r="426" spans="1:70">
      <c r="A426" s="38"/>
      <c r="B426" s="38"/>
      <c r="C426" s="43"/>
      <c r="D426" s="38"/>
      <c r="E426" s="38"/>
      <c r="F426" s="43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8"/>
      <c r="AJ426" s="38"/>
      <c r="AK426" s="38"/>
      <c r="AL426" s="38"/>
      <c r="AM426" s="38"/>
      <c r="AN426" s="38"/>
      <c r="AO426" s="38"/>
      <c r="AP426" s="38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  <c r="BA426" s="38"/>
      <c r="BB426" s="38"/>
      <c r="BC426" s="38"/>
      <c r="BD426" s="38"/>
      <c r="BE426" s="38"/>
      <c r="BF426" s="38"/>
      <c r="BG426" s="38"/>
      <c r="BH426" s="38"/>
      <c r="BI426" s="38"/>
      <c r="BJ426" s="38"/>
      <c r="BK426" s="38"/>
      <c r="BL426" s="38"/>
      <c r="BM426" s="38"/>
      <c r="BN426" s="38"/>
      <c r="BO426" s="38"/>
      <c r="BP426" s="38"/>
      <c r="BQ426" s="38"/>
      <c r="BR426" s="38"/>
    </row>
    <row r="427" spans="1:70">
      <c r="A427" s="38"/>
      <c r="B427" s="38"/>
      <c r="C427" s="43"/>
      <c r="D427" s="38"/>
      <c r="E427" s="38"/>
      <c r="F427" s="43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8"/>
      <c r="AJ427" s="38"/>
      <c r="AK427" s="38"/>
      <c r="AL427" s="38"/>
      <c r="AM427" s="38"/>
      <c r="AN427" s="38"/>
      <c r="AO427" s="38"/>
      <c r="AP427" s="38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  <c r="BA427" s="38"/>
      <c r="BB427" s="38"/>
      <c r="BC427" s="38"/>
      <c r="BD427" s="38"/>
      <c r="BE427" s="38"/>
      <c r="BF427" s="38"/>
      <c r="BG427" s="38"/>
      <c r="BH427" s="38"/>
      <c r="BI427" s="38"/>
      <c r="BJ427" s="38"/>
      <c r="BK427" s="38"/>
      <c r="BL427" s="38"/>
      <c r="BM427" s="38"/>
      <c r="BN427" s="38"/>
      <c r="BO427" s="38"/>
      <c r="BP427" s="38"/>
      <c r="BQ427" s="38"/>
      <c r="BR427" s="38"/>
    </row>
    <row r="428" spans="1:70">
      <c r="A428" s="38"/>
      <c r="B428" s="38"/>
      <c r="C428" s="43"/>
      <c r="D428" s="38"/>
      <c r="E428" s="38"/>
      <c r="F428" s="43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8"/>
      <c r="AJ428" s="38"/>
      <c r="AK428" s="38"/>
      <c r="AL428" s="38"/>
      <c r="AM428" s="38"/>
      <c r="AN428" s="38"/>
      <c r="AO428" s="38"/>
      <c r="AP428" s="38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  <c r="BA428" s="38"/>
      <c r="BB428" s="38"/>
      <c r="BC428" s="38"/>
      <c r="BD428" s="38"/>
      <c r="BE428" s="38"/>
      <c r="BF428" s="38"/>
      <c r="BG428" s="38"/>
      <c r="BH428" s="38"/>
      <c r="BI428" s="38"/>
      <c r="BJ428" s="38"/>
      <c r="BK428" s="38"/>
      <c r="BL428" s="38"/>
      <c r="BM428" s="38"/>
      <c r="BN428" s="38"/>
      <c r="BO428" s="38"/>
      <c r="BP428" s="38"/>
      <c r="BQ428" s="38"/>
      <c r="BR428" s="38"/>
    </row>
    <row r="429" spans="1:70">
      <c r="A429" s="38"/>
      <c r="B429" s="38"/>
      <c r="C429" s="43"/>
      <c r="D429" s="38"/>
      <c r="E429" s="38"/>
      <c r="F429" s="43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8"/>
      <c r="AJ429" s="38"/>
      <c r="AK429" s="38"/>
      <c r="AL429" s="38"/>
      <c r="AM429" s="38"/>
      <c r="AN429" s="38"/>
      <c r="AO429" s="38"/>
      <c r="AP429" s="38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  <c r="BA429" s="38"/>
      <c r="BB429" s="38"/>
      <c r="BC429" s="38"/>
      <c r="BD429" s="38"/>
      <c r="BE429" s="38"/>
      <c r="BF429" s="38"/>
      <c r="BG429" s="38"/>
      <c r="BH429" s="38"/>
      <c r="BI429" s="38"/>
      <c r="BJ429" s="38"/>
      <c r="BK429" s="38"/>
      <c r="BL429" s="38"/>
      <c r="BM429" s="38"/>
      <c r="BN429" s="38"/>
      <c r="BO429" s="38"/>
      <c r="BP429" s="38"/>
      <c r="BQ429" s="38"/>
      <c r="BR429" s="38"/>
    </row>
    <row r="430" spans="1:70">
      <c r="A430" s="38"/>
      <c r="B430" s="38"/>
      <c r="C430" s="43"/>
      <c r="D430" s="38"/>
      <c r="E430" s="38"/>
      <c r="F430" s="43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8"/>
      <c r="AJ430" s="38"/>
      <c r="AK430" s="38"/>
      <c r="AL430" s="38"/>
      <c r="AM430" s="38"/>
      <c r="AN430" s="38"/>
      <c r="AO430" s="38"/>
      <c r="AP430" s="38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  <c r="BA430" s="38"/>
      <c r="BB430" s="38"/>
      <c r="BC430" s="38"/>
      <c r="BD430" s="38"/>
      <c r="BE430" s="38"/>
      <c r="BF430" s="38"/>
      <c r="BG430" s="38"/>
      <c r="BH430" s="38"/>
      <c r="BI430" s="38"/>
      <c r="BJ430" s="38"/>
      <c r="BK430" s="38"/>
      <c r="BL430" s="38"/>
      <c r="BM430" s="38"/>
      <c r="BN430" s="38"/>
      <c r="BO430" s="38"/>
      <c r="BP430" s="38"/>
      <c r="BQ430" s="38"/>
      <c r="BR430" s="38"/>
    </row>
    <row r="431" spans="1:70">
      <c r="A431" s="38"/>
      <c r="B431" s="38"/>
      <c r="C431" s="43"/>
      <c r="D431" s="38"/>
      <c r="E431" s="38"/>
      <c r="F431" s="43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8"/>
      <c r="AJ431" s="38"/>
      <c r="AK431" s="38"/>
      <c r="AL431" s="38"/>
      <c r="AM431" s="38"/>
      <c r="AN431" s="38"/>
      <c r="AO431" s="38"/>
      <c r="AP431" s="38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  <c r="BA431" s="38"/>
      <c r="BB431" s="38"/>
      <c r="BC431" s="38"/>
      <c r="BD431" s="38"/>
      <c r="BE431" s="38"/>
      <c r="BF431" s="38"/>
      <c r="BG431" s="38"/>
      <c r="BH431" s="38"/>
      <c r="BI431" s="38"/>
      <c r="BJ431" s="38"/>
      <c r="BK431" s="38"/>
      <c r="BL431" s="38"/>
      <c r="BM431" s="38"/>
      <c r="BN431" s="38"/>
      <c r="BO431" s="38"/>
      <c r="BP431" s="38"/>
      <c r="BQ431" s="38"/>
      <c r="BR431" s="38"/>
    </row>
    <row r="432" spans="1:70">
      <c r="A432" s="38"/>
      <c r="B432" s="38"/>
      <c r="C432" s="43"/>
      <c r="D432" s="38"/>
      <c r="E432" s="38"/>
      <c r="F432" s="43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8"/>
      <c r="AJ432" s="38"/>
      <c r="AK432" s="38"/>
      <c r="AL432" s="38"/>
      <c r="AM432" s="38"/>
      <c r="AN432" s="38"/>
      <c r="AO432" s="38"/>
      <c r="AP432" s="38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  <c r="BA432" s="38"/>
      <c r="BB432" s="38"/>
      <c r="BC432" s="38"/>
      <c r="BD432" s="38"/>
      <c r="BE432" s="38"/>
      <c r="BF432" s="38"/>
      <c r="BG432" s="38"/>
      <c r="BH432" s="38"/>
      <c r="BI432" s="38"/>
      <c r="BJ432" s="38"/>
      <c r="BK432" s="38"/>
      <c r="BL432" s="38"/>
      <c r="BM432" s="38"/>
      <c r="BN432" s="38"/>
      <c r="BO432" s="38"/>
      <c r="BP432" s="38"/>
      <c r="BQ432" s="38"/>
      <c r="BR432" s="38"/>
    </row>
    <row r="433" spans="1:70">
      <c r="A433" s="38"/>
      <c r="B433" s="38"/>
      <c r="C433" s="43"/>
      <c r="D433" s="38"/>
      <c r="E433" s="38"/>
      <c r="F433" s="43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8"/>
      <c r="AJ433" s="38"/>
      <c r="AK433" s="38"/>
      <c r="AL433" s="38"/>
      <c r="AM433" s="38"/>
      <c r="AN433" s="38"/>
      <c r="AO433" s="38"/>
      <c r="AP433" s="38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  <c r="BA433" s="38"/>
      <c r="BB433" s="38"/>
      <c r="BC433" s="38"/>
      <c r="BD433" s="38"/>
      <c r="BE433" s="38"/>
      <c r="BF433" s="38"/>
      <c r="BG433" s="38"/>
      <c r="BH433" s="38"/>
      <c r="BI433" s="38"/>
      <c r="BJ433" s="38"/>
      <c r="BK433" s="38"/>
      <c r="BL433" s="38"/>
      <c r="BM433" s="38"/>
      <c r="BN433" s="38"/>
      <c r="BO433" s="38"/>
      <c r="BP433" s="38"/>
      <c r="BQ433" s="38"/>
      <c r="BR433" s="38"/>
    </row>
    <row r="434" spans="1:70">
      <c r="A434" s="38"/>
      <c r="B434" s="38"/>
      <c r="C434" s="43"/>
      <c r="D434" s="38"/>
      <c r="E434" s="38"/>
      <c r="F434" s="43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8"/>
      <c r="AJ434" s="38"/>
      <c r="AK434" s="38"/>
      <c r="AL434" s="38"/>
      <c r="AM434" s="38"/>
      <c r="AN434" s="38"/>
      <c r="AO434" s="38"/>
      <c r="AP434" s="38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  <c r="BA434" s="38"/>
      <c r="BB434" s="38"/>
      <c r="BC434" s="38"/>
      <c r="BD434" s="38"/>
      <c r="BE434" s="38"/>
      <c r="BF434" s="38"/>
      <c r="BG434" s="38"/>
      <c r="BH434" s="38"/>
      <c r="BI434" s="38"/>
      <c r="BJ434" s="38"/>
      <c r="BK434" s="38"/>
      <c r="BL434" s="38"/>
      <c r="BM434" s="38"/>
      <c r="BN434" s="38"/>
      <c r="BO434" s="38"/>
      <c r="BP434" s="38"/>
      <c r="BQ434" s="38"/>
      <c r="BR434" s="38"/>
    </row>
    <row r="435" spans="1:70">
      <c r="A435" s="38"/>
      <c r="B435" s="38"/>
      <c r="C435" s="43"/>
      <c r="D435" s="38"/>
      <c r="E435" s="38"/>
      <c r="F435" s="43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8"/>
      <c r="AJ435" s="38"/>
      <c r="AK435" s="38"/>
      <c r="AL435" s="38"/>
      <c r="AM435" s="38"/>
      <c r="AN435" s="38"/>
      <c r="AO435" s="38"/>
      <c r="AP435" s="38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  <c r="BA435" s="38"/>
      <c r="BB435" s="38"/>
      <c r="BC435" s="38"/>
      <c r="BD435" s="38"/>
      <c r="BE435" s="38"/>
      <c r="BF435" s="38"/>
      <c r="BG435" s="38"/>
      <c r="BH435" s="38"/>
      <c r="BI435" s="38"/>
      <c r="BJ435" s="38"/>
      <c r="BK435" s="38"/>
      <c r="BL435" s="38"/>
      <c r="BM435" s="38"/>
      <c r="BN435" s="38"/>
      <c r="BO435" s="38"/>
      <c r="BP435" s="38"/>
      <c r="BQ435" s="38"/>
      <c r="BR435" s="38"/>
    </row>
    <row r="436" spans="1:70">
      <c r="A436" s="38"/>
      <c r="B436" s="38"/>
      <c r="C436" s="43"/>
      <c r="D436" s="38"/>
      <c r="E436" s="38"/>
      <c r="F436" s="43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8"/>
      <c r="AJ436" s="38"/>
      <c r="AK436" s="38"/>
      <c r="AL436" s="38"/>
      <c r="AM436" s="38"/>
      <c r="AN436" s="38"/>
      <c r="AO436" s="38"/>
      <c r="AP436" s="38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  <c r="BA436" s="38"/>
      <c r="BB436" s="38"/>
      <c r="BC436" s="38"/>
      <c r="BD436" s="38"/>
      <c r="BE436" s="38"/>
      <c r="BF436" s="38"/>
      <c r="BG436" s="38"/>
      <c r="BH436" s="38"/>
      <c r="BI436" s="38"/>
      <c r="BJ436" s="38"/>
      <c r="BK436" s="38"/>
      <c r="BL436" s="38"/>
      <c r="BM436" s="38"/>
      <c r="BN436" s="38"/>
      <c r="BO436" s="38"/>
      <c r="BP436" s="38"/>
      <c r="BQ436" s="38"/>
      <c r="BR436" s="38"/>
    </row>
    <row r="437" spans="1:70">
      <c r="A437" s="38"/>
      <c r="B437" s="38"/>
      <c r="C437" s="43"/>
      <c r="D437" s="38"/>
      <c r="E437" s="38"/>
      <c r="F437" s="43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8"/>
      <c r="AJ437" s="38"/>
      <c r="AK437" s="38"/>
      <c r="AL437" s="38"/>
      <c r="AM437" s="38"/>
      <c r="AN437" s="38"/>
      <c r="AO437" s="38"/>
      <c r="AP437" s="38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  <c r="BA437" s="38"/>
      <c r="BB437" s="38"/>
      <c r="BC437" s="38"/>
      <c r="BD437" s="38"/>
      <c r="BE437" s="38"/>
      <c r="BF437" s="38"/>
      <c r="BG437" s="38"/>
      <c r="BH437" s="38"/>
      <c r="BI437" s="38"/>
      <c r="BJ437" s="38"/>
      <c r="BK437" s="38"/>
      <c r="BL437" s="38"/>
      <c r="BM437" s="38"/>
      <c r="BN437" s="38"/>
      <c r="BO437" s="38"/>
      <c r="BP437" s="38"/>
      <c r="BQ437" s="38"/>
      <c r="BR437" s="38"/>
    </row>
    <row r="438" spans="1:70">
      <c r="A438" s="38"/>
      <c r="B438" s="38"/>
      <c r="C438" s="43"/>
      <c r="D438" s="38"/>
      <c r="E438" s="38"/>
      <c r="F438" s="43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8"/>
      <c r="AJ438" s="38"/>
      <c r="AK438" s="38"/>
      <c r="AL438" s="38"/>
      <c r="AM438" s="38"/>
      <c r="AN438" s="38"/>
      <c r="AO438" s="38"/>
      <c r="AP438" s="38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  <c r="BA438" s="38"/>
      <c r="BB438" s="38"/>
      <c r="BC438" s="38"/>
      <c r="BD438" s="38"/>
      <c r="BE438" s="38"/>
      <c r="BF438" s="38"/>
      <c r="BG438" s="38"/>
      <c r="BH438" s="38"/>
      <c r="BI438" s="38"/>
      <c r="BJ438" s="38"/>
      <c r="BK438" s="38"/>
      <c r="BL438" s="38"/>
      <c r="BM438" s="38"/>
      <c r="BN438" s="38"/>
      <c r="BO438" s="38"/>
      <c r="BP438" s="38"/>
      <c r="BQ438" s="38"/>
      <c r="BR438" s="38"/>
    </row>
    <row r="439" spans="1:70">
      <c r="A439" s="38"/>
      <c r="B439" s="38"/>
      <c r="C439" s="43"/>
      <c r="D439" s="38"/>
      <c r="E439" s="38"/>
      <c r="F439" s="43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8"/>
      <c r="AJ439" s="38"/>
      <c r="AK439" s="38"/>
      <c r="AL439" s="38"/>
      <c r="AM439" s="38"/>
      <c r="AN439" s="38"/>
      <c r="AO439" s="38"/>
      <c r="AP439" s="38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  <c r="BA439" s="38"/>
      <c r="BB439" s="38"/>
      <c r="BC439" s="38"/>
      <c r="BD439" s="38"/>
      <c r="BE439" s="38"/>
      <c r="BF439" s="38"/>
      <c r="BG439" s="38"/>
      <c r="BH439" s="38"/>
      <c r="BI439" s="38"/>
      <c r="BJ439" s="38"/>
      <c r="BK439" s="38"/>
      <c r="BL439" s="38"/>
      <c r="BM439" s="38"/>
      <c r="BN439" s="38"/>
      <c r="BO439" s="38"/>
      <c r="BP439" s="38"/>
      <c r="BQ439" s="38"/>
      <c r="BR439" s="38"/>
    </row>
    <row r="440" spans="1:70">
      <c r="A440" s="38"/>
      <c r="B440" s="38"/>
      <c r="C440" s="43"/>
      <c r="D440" s="38"/>
      <c r="E440" s="38"/>
      <c r="F440" s="43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  <c r="AL440" s="38"/>
      <c r="AM440" s="38"/>
      <c r="AN440" s="38"/>
      <c r="AO440" s="38"/>
      <c r="AP440" s="38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  <c r="BA440" s="38"/>
      <c r="BB440" s="38"/>
      <c r="BC440" s="38"/>
      <c r="BD440" s="38"/>
      <c r="BE440" s="38"/>
      <c r="BF440" s="38"/>
      <c r="BG440" s="38"/>
      <c r="BH440" s="38"/>
      <c r="BI440" s="38"/>
      <c r="BJ440" s="38"/>
      <c r="BK440" s="38"/>
      <c r="BL440" s="38"/>
      <c r="BM440" s="38"/>
      <c r="BN440" s="38"/>
      <c r="BO440" s="38"/>
      <c r="BP440" s="38"/>
      <c r="BQ440" s="38"/>
      <c r="BR440" s="38"/>
    </row>
    <row r="441" spans="1:70">
      <c r="A441" s="38"/>
      <c r="B441" s="38"/>
      <c r="C441" s="43"/>
      <c r="D441" s="38"/>
      <c r="E441" s="38"/>
      <c r="F441" s="43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  <c r="AL441" s="38"/>
      <c r="AM441" s="38"/>
      <c r="AN441" s="38"/>
      <c r="AO441" s="38"/>
      <c r="AP441" s="38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  <c r="BA441" s="38"/>
      <c r="BB441" s="38"/>
      <c r="BC441" s="38"/>
      <c r="BD441" s="38"/>
      <c r="BE441" s="38"/>
      <c r="BF441" s="38"/>
      <c r="BG441" s="38"/>
      <c r="BH441" s="38"/>
      <c r="BI441" s="38"/>
      <c r="BJ441" s="38"/>
      <c r="BK441" s="38"/>
      <c r="BL441" s="38"/>
      <c r="BM441" s="38"/>
      <c r="BN441" s="38"/>
      <c r="BO441" s="38"/>
      <c r="BP441" s="38"/>
      <c r="BQ441" s="38"/>
      <c r="BR441" s="38"/>
    </row>
    <row r="442" spans="1:70">
      <c r="A442" s="38"/>
      <c r="B442" s="38"/>
      <c r="C442" s="43"/>
      <c r="D442" s="38"/>
      <c r="E442" s="38"/>
      <c r="F442" s="43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  <c r="AL442" s="38"/>
      <c r="AM442" s="38"/>
      <c r="AN442" s="38"/>
      <c r="AO442" s="38"/>
      <c r="AP442" s="38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  <c r="BA442" s="38"/>
      <c r="BB442" s="38"/>
      <c r="BC442" s="38"/>
      <c r="BD442" s="38"/>
      <c r="BE442" s="38"/>
      <c r="BF442" s="38"/>
      <c r="BG442" s="38"/>
      <c r="BH442" s="38"/>
      <c r="BI442" s="38"/>
      <c r="BJ442" s="38"/>
      <c r="BK442" s="38"/>
      <c r="BL442" s="38"/>
      <c r="BM442" s="38"/>
      <c r="BN442" s="38"/>
      <c r="BO442" s="38"/>
      <c r="BP442" s="38"/>
      <c r="BQ442" s="38"/>
      <c r="BR442" s="38"/>
    </row>
    <row r="443" spans="1:70">
      <c r="A443" s="38"/>
      <c r="B443" s="38"/>
      <c r="C443" s="43"/>
      <c r="D443" s="38"/>
      <c r="E443" s="38"/>
      <c r="F443" s="43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  <c r="AL443" s="38"/>
      <c r="AM443" s="38"/>
      <c r="AN443" s="38"/>
      <c r="AO443" s="38"/>
      <c r="AP443" s="38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  <c r="BA443" s="38"/>
      <c r="BB443" s="38"/>
      <c r="BC443" s="38"/>
      <c r="BD443" s="38"/>
      <c r="BE443" s="38"/>
      <c r="BF443" s="38"/>
      <c r="BG443" s="38"/>
      <c r="BH443" s="38"/>
      <c r="BI443" s="38"/>
      <c r="BJ443" s="38"/>
      <c r="BK443" s="38"/>
      <c r="BL443" s="38"/>
      <c r="BM443" s="38"/>
      <c r="BN443" s="38"/>
      <c r="BO443" s="38"/>
      <c r="BP443" s="38"/>
      <c r="BQ443" s="38"/>
      <c r="BR443" s="38"/>
    </row>
    <row r="444" spans="1:70">
      <c r="A444" s="38"/>
      <c r="B444" s="38"/>
      <c r="C444" s="43"/>
      <c r="D444" s="38"/>
      <c r="E444" s="38"/>
      <c r="F444" s="43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  <c r="AL444" s="38"/>
      <c r="AM444" s="38"/>
      <c r="AN444" s="38"/>
      <c r="AO444" s="38"/>
      <c r="AP444" s="38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  <c r="BA444" s="38"/>
      <c r="BB444" s="38"/>
      <c r="BC444" s="38"/>
      <c r="BD444" s="38"/>
      <c r="BE444" s="38"/>
      <c r="BF444" s="38"/>
      <c r="BG444" s="38"/>
      <c r="BH444" s="38"/>
      <c r="BI444" s="38"/>
      <c r="BJ444" s="38"/>
      <c r="BK444" s="38"/>
      <c r="BL444" s="38"/>
      <c r="BM444" s="38"/>
      <c r="BN444" s="38"/>
      <c r="BO444" s="38"/>
      <c r="BP444" s="38"/>
      <c r="BQ444" s="38"/>
      <c r="BR444" s="38"/>
    </row>
    <row r="445" spans="1:70">
      <c r="A445" s="38"/>
      <c r="B445" s="38"/>
      <c r="C445" s="43"/>
      <c r="D445" s="38"/>
      <c r="E445" s="38"/>
      <c r="F445" s="43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  <c r="AL445" s="38"/>
      <c r="AM445" s="38"/>
      <c r="AN445" s="38"/>
      <c r="AO445" s="38"/>
      <c r="AP445" s="38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  <c r="BA445" s="38"/>
      <c r="BB445" s="38"/>
      <c r="BC445" s="38"/>
      <c r="BD445" s="38"/>
      <c r="BE445" s="38"/>
      <c r="BF445" s="38"/>
      <c r="BG445" s="38"/>
      <c r="BH445" s="38"/>
      <c r="BI445" s="38"/>
      <c r="BJ445" s="38"/>
      <c r="BK445" s="38"/>
      <c r="BL445" s="38"/>
      <c r="BM445" s="38"/>
      <c r="BN445" s="38"/>
      <c r="BO445" s="38"/>
      <c r="BP445" s="38"/>
      <c r="BQ445" s="38"/>
      <c r="BR445" s="38"/>
    </row>
    <row r="446" spans="1:70">
      <c r="A446" s="38"/>
      <c r="B446" s="38"/>
      <c r="C446" s="43"/>
      <c r="D446" s="38"/>
      <c r="E446" s="38"/>
      <c r="F446" s="43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  <c r="AL446" s="38"/>
      <c r="AM446" s="38"/>
      <c r="AN446" s="38"/>
      <c r="AO446" s="38"/>
      <c r="AP446" s="38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  <c r="BA446" s="38"/>
      <c r="BB446" s="38"/>
      <c r="BC446" s="38"/>
      <c r="BD446" s="38"/>
      <c r="BE446" s="38"/>
      <c r="BF446" s="38"/>
      <c r="BG446" s="38"/>
      <c r="BH446" s="38"/>
      <c r="BI446" s="38"/>
      <c r="BJ446" s="38"/>
      <c r="BK446" s="38"/>
      <c r="BL446" s="38"/>
      <c r="BM446" s="38"/>
      <c r="BN446" s="38"/>
      <c r="BO446" s="38"/>
      <c r="BP446" s="38"/>
      <c r="BQ446" s="38"/>
      <c r="BR446" s="38"/>
    </row>
    <row r="447" spans="1:70">
      <c r="A447" s="38"/>
      <c r="B447" s="38"/>
      <c r="C447" s="43"/>
      <c r="D447" s="38"/>
      <c r="E447" s="38"/>
      <c r="F447" s="43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  <c r="AL447" s="38"/>
      <c r="AM447" s="38"/>
      <c r="AN447" s="38"/>
      <c r="AO447" s="38"/>
      <c r="AP447" s="38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  <c r="BA447" s="38"/>
      <c r="BB447" s="38"/>
      <c r="BC447" s="38"/>
      <c r="BD447" s="38"/>
      <c r="BE447" s="38"/>
      <c r="BF447" s="38"/>
      <c r="BG447" s="38"/>
      <c r="BH447" s="38"/>
      <c r="BI447" s="38"/>
      <c r="BJ447" s="38"/>
      <c r="BK447" s="38"/>
      <c r="BL447" s="38"/>
      <c r="BM447" s="38"/>
      <c r="BN447" s="38"/>
      <c r="BO447" s="38"/>
      <c r="BP447" s="38"/>
      <c r="BQ447" s="38"/>
      <c r="BR447" s="38"/>
    </row>
    <row r="448" spans="1:70">
      <c r="A448" s="38"/>
      <c r="B448" s="38"/>
      <c r="C448" s="43"/>
      <c r="D448" s="38"/>
      <c r="E448" s="38"/>
      <c r="F448" s="43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  <c r="AL448" s="38"/>
      <c r="AM448" s="38"/>
      <c r="AN448" s="38"/>
      <c r="AO448" s="38"/>
      <c r="AP448" s="38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  <c r="BA448" s="38"/>
      <c r="BB448" s="38"/>
      <c r="BC448" s="38"/>
      <c r="BD448" s="38"/>
      <c r="BE448" s="38"/>
      <c r="BF448" s="38"/>
      <c r="BG448" s="38"/>
      <c r="BH448" s="38"/>
      <c r="BI448" s="38"/>
      <c r="BJ448" s="38"/>
      <c r="BK448" s="38"/>
      <c r="BL448" s="38"/>
      <c r="BM448" s="38"/>
      <c r="BN448" s="38"/>
      <c r="BO448" s="38"/>
      <c r="BP448" s="38"/>
      <c r="BQ448" s="38"/>
      <c r="BR448" s="38"/>
    </row>
    <row r="449" spans="1:70">
      <c r="A449" s="38"/>
      <c r="B449" s="38"/>
      <c r="C449" s="43"/>
      <c r="D449" s="38"/>
      <c r="E449" s="38"/>
      <c r="F449" s="43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  <c r="AL449" s="38"/>
      <c r="AM449" s="38"/>
      <c r="AN449" s="38"/>
      <c r="AO449" s="38"/>
      <c r="AP449" s="38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  <c r="BA449" s="38"/>
      <c r="BB449" s="38"/>
      <c r="BC449" s="38"/>
      <c r="BD449" s="38"/>
      <c r="BE449" s="38"/>
      <c r="BF449" s="38"/>
      <c r="BG449" s="38"/>
      <c r="BH449" s="38"/>
      <c r="BI449" s="38"/>
      <c r="BJ449" s="38"/>
      <c r="BK449" s="38"/>
      <c r="BL449" s="38"/>
      <c r="BM449" s="38"/>
      <c r="BN449" s="38"/>
      <c r="BO449" s="38"/>
      <c r="BP449" s="38"/>
      <c r="BQ449" s="38"/>
      <c r="BR449" s="38"/>
    </row>
    <row r="450" spans="1:70">
      <c r="A450" s="38"/>
      <c r="B450" s="38"/>
      <c r="C450" s="43"/>
      <c r="D450" s="38"/>
      <c r="E450" s="38"/>
      <c r="F450" s="43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  <c r="AL450" s="38"/>
      <c r="AM450" s="38"/>
      <c r="AN450" s="38"/>
      <c r="AO450" s="38"/>
      <c r="AP450" s="38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  <c r="BA450" s="38"/>
      <c r="BB450" s="38"/>
      <c r="BC450" s="38"/>
      <c r="BD450" s="38"/>
      <c r="BE450" s="38"/>
      <c r="BF450" s="38"/>
      <c r="BG450" s="38"/>
      <c r="BH450" s="38"/>
      <c r="BI450" s="38"/>
      <c r="BJ450" s="38"/>
      <c r="BK450" s="38"/>
      <c r="BL450" s="38"/>
      <c r="BM450" s="38"/>
      <c r="BN450" s="38"/>
      <c r="BO450" s="38"/>
      <c r="BP450" s="38"/>
      <c r="BQ450" s="38"/>
      <c r="BR450" s="38"/>
    </row>
    <row r="451" spans="1:70">
      <c r="A451" s="38"/>
      <c r="B451" s="38"/>
      <c r="C451" s="43"/>
      <c r="D451" s="38"/>
      <c r="E451" s="38"/>
      <c r="F451" s="43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  <c r="AL451" s="38"/>
      <c r="AM451" s="38"/>
      <c r="AN451" s="38"/>
      <c r="AO451" s="38"/>
      <c r="AP451" s="38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  <c r="BA451" s="38"/>
      <c r="BB451" s="38"/>
      <c r="BC451" s="38"/>
      <c r="BD451" s="38"/>
      <c r="BE451" s="38"/>
      <c r="BF451" s="38"/>
      <c r="BG451" s="38"/>
      <c r="BH451" s="38"/>
      <c r="BI451" s="38"/>
      <c r="BJ451" s="38"/>
      <c r="BK451" s="38"/>
      <c r="BL451" s="38"/>
      <c r="BM451" s="38"/>
      <c r="BN451" s="38"/>
      <c r="BO451" s="38"/>
      <c r="BP451" s="38"/>
      <c r="BQ451" s="38"/>
      <c r="BR451" s="38"/>
    </row>
    <row r="452" spans="1:70">
      <c r="A452" s="38"/>
      <c r="B452" s="38"/>
      <c r="C452" s="43"/>
      <c r="D452" s="38"/>
      <c r="E452" s="38"/>
      <c r="F452" s="43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  <c r="AL452" s="38"/>
      <c r="AM452" s="38"/>
      <c r="AN452" s="38"/>
      <c r="AO452" s="38"/>
      <c r="AP452" s="38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  <c r="BA452" s="38"/>
      <c r="BB452" s="38"/>
      <c r="BC452" s="38"/>
      <c r="BD452" s="38"/>
      <c r="BE452" s="38"/>
      <c r="BF452" s="38"/>
      <c r="BG452" s="38"/>
      <c r="BH452" s="38"/>
      <c r="BI452" s="38"/>
      <c r="BJ452" s="38"/>
      <c r="BK452" s="38"/>
      <c r="BL452" s="38"/>
      <c r="BM452" s="38"/>
      <c r="BN452" s="38"/>
      <c r="BO452" s="38"/>
      <c r="BP452" s="38"/>
      <c r="BQ452" s="38"/>
      <c r="BR452" s="38"/>
    </row>
    <row r="453" spans="1:70">
      <c r="A453" s="38"/>
      <c r="B453" s="38"/>
      <c r="C453" s="43"/>
      <c r="D453" s="38"/>
      <c r="E453" s="38"/>
      <c r="F453" s="43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  <c r="AL453" s="38"/>
      <c r="AM453" s="38"/>
      <c r="AN453" s="38"/>
      <c r="AO453" s="38"/>
      <c r="AP453" s="38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  <c r="BA453" s="38"/>
      <c r="BB453" s="38"/>
      <c r="BC453" s="38"/>
      <c r="BD453" s="38"/>
      <c r="BE453" s="38"/>
      <c r="BF453" s="38"/>
      <c r="BG453" s="38"/>
      <c r="BH453" s="38"/>
      <c r="BI453" s="38"/>
      <c r="BJ453" s="38"/>
      <c r="BK453" s="38"/>
      <c r="BL453" s="38"/>
      <c r="BM453" s="38"/>
      <c r="BN453" s="38"/>
      <c r="BO453" s="38"/>
      <c r="BP453" s="38"/>
      <c r="BQ453" s="38"/>
      <c r="BR453" s="38"/>
    </row>
    <row r="454" spans="1:70">
      <c r="A454" s="38"/>
      <c r="B454" s="38"/>
      <c r="C454" s="43"/>
      <c r="D454" s="38"/>
      <c r="E454" s="38"/>
      <c r="F454" s="43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  <c r="AL454" s="38"/>
      <c r="AM454" s="38"/>
      <c r="AN454" s="38"/>
      <c r="AO454" s="38"/>
      <c r="AP454" s="38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  <c r="BA454" s="38"/>
      <c r="BB454" s="38"/>
      <c r="BC454" s="38"/>
      <c r="BD454" s="38"/>
      <c r="BE454" s="38"/>
      <c r="BF454" s="38"/>
      <c r="BG454" s="38"/>
      <c r="BH454" s="38"/>
      <c r="BI454" s="38"/>
      <c r="BJ454" s="38"/>
      <c r="BK454" s="38"/>
      <c r="BL454" s="38"/>
      <c r="BM454" s="38"/>
      <c r="BN454" s="38"/>
      <c r="BO454" s="38"/>
      <c r="BP454" s="38"/>
      <c r="BQ454" s="38"/>
      <c r="BR454" s="38"/>
    </row>
    <row r="455" spans="1:70">
      <c r="A455" s="38"/>
      <c r="B455" s="38"/>
      <c r="C455" s="43"/>
      <c r="D455" s="38"/>
      <c r="E455" s="38"/>
      <c r="F455" s="43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  <c r="AL455" s="38"/>
      <c r="AM455" s="38"/>
      <c r="AN455" s="38"/>
      <c r="AO455" s="38"/>
      <c r="AP455" s="38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  <c r="BA455" s="38"/>
      <c r="BB455" s="38"/>
      <c r="BC455" s="38"/>
      <c r="BD455" s="38"/>
      <c r="BE455" s="38"/>
      <c r="BF455" s="38"/>
      <c r="BG455" s="38"/>
      <c r="BH455" s="38"/>
      <c r="BI455" s="38"/>
      <c r="BJ455" s="38"/>
      <c r="BK455" s="38"/>
      <c r="BL455" s="38"/>
      <c r="BM455" s="38"/>
      <c r="BN455" s="38"/>
      <c r="BO455" s="38"/>
      <c r="BP455" s="38"/>
      <c r="BQ455" s="38"/>
      <c r="BR455" s="38"/>
    </row>
    <row r="456" spans="1:70">
      <c r="A456" s="38"/>
      <c r="B456" s="38"/>
      <c r="C456" s="43"/>
      <c r="D456" s="38"/>
      <c r="E456" s="38"/>
      <c r="F456" s="43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  <c r="AL456" s="38"/>
      <c r="AM456" s="38"/>
      <c r="AN456" s="38"/>
      <c r="AO456" s="38"/>
      <c r="AP456" s="38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  <c r="BA456" s="38"/>
      <c r="BB456" s="38"/>
      <c r="BC456" s="38"/>
      <c r="BD456" s="38"/>
      <c r="BE456" s="38"/>
      <c r="BF456" s="38"/>
      <c r="BG456" s="38"/>
      <c r="BH456" s="38"/>
      <c r="BI456" s="38"/>
      <c r="BJ456" s="38"/>
      <c r="BK456" s="38"/>
      <c r="BL456" s="38"/>
      <c r="BM456" s="38"/>
      <c r="BN456" s="38"/>
      <c r="BO456" s="38"/>
      <c r="BP456" s="38"/>
      <c r="BQ456" s="38"/>
      <c r="BR456" s="38"/>
    </row>
    <row r="457" spans="1:70">
      <c r="A457" s="38"/>
      <c r="B457" s="38"/>
      <c r="C457" s="43"/>
      <c r="D457" s="38"/>
      <c r="E457" s="38"/>
      <c r="F457" s="43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  <c r="AL457" s="38"/>
      <c r="AM457" s="38"/>
      <c r="AN457" s="38"/>
      <c r="AO457" s="38"/>
      <c r="AP457" s="38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  <c r="BA457" s="38"/>
      <c r="BB457" s="38"/>
      <c r="BC457" s="38"/>
      <c r="BD457" s="38"/>
      <c r="BE457" s="38"/>
      <c r="BF457" s="38"/>
      <c r="BG457" s="38"/>
      <c r="BH457" s="38"/>
      <c r="BI457" s="38"/>
      <c r="BJ457" s="38"/>
      <c r="BK457" s="38"/>
      <c r="BL457" s="38"/>
      <c r="BM457" s="38"/>
      <c r="BN457" s="38"/>
      <c r="BO457" s="38"/>
      <c r="BP457" s="38"/>
      <c r="BQ457" s="38"/>
      <c r="BR457" s="38"/>
    </row>
    <row r="458" spans="1:70">
      <c r="A458" s="38"/>
      <c r="B458" s="38"/>
      <c r="C458" s="43"/>
      <c r="D458" s="38"/>
      <c r="E458" s="38"/>
      <c r="F458" s="43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  <c r="AL458" s="38"/>
      <c r="AM458" s="38"/>
      <c r="AN458" s="38"/>
      <c r="AO458" s="38"/>
      <c r="AP458" s="38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  <c r="BA458" s="38"/>
      <c r="BB458" s="38"/>
      <c r="BC458" s="38"/>
      <c r="BD458" s="38"/>
      <c r="BE458" s="38"/>
      <c r="BF458" s="38"/>
      <c r="BG458" s="38"/>
      <c r="BH458" s="38"/>
      <c r="BI458" s="38"/>
      <c r="BJ458" s="38"/>
      <c r="BK458" s="38"/>
      <c r="BL458" s="38"/>
      <c r="BM458" s="38"/>
      <c r="BN458" s="38"/>
      <c r="BO458" s="38"/>
      <c r="BP458" s="38"/>
      <c r="BQ458" s="38"/>
      <c r="BR458" s="38"/>
    </row>
    <row r="459" spans="1:70">
      <c r="A459" s="38"/>
      <c r="B459" s="38"/>
      <c r="C459" s="43"/>
      <c r="D459" s="38"/>
      <c r="E459" s="38"/>
      <c r="F459" s="43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  <c r="AL459" s="38"/>
      <c r="AM459" s="38"/>
      <c r="AN459" s="38"/>
      <c r="AO459" s="38"/>
      <c r="AP459" s="38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  <c r="BA459" s="38"/>
      <c r="BB459" s="38"/>
      <c r="BC459" s="38"/>
      <c r="BD459" s="38"/>
      <c r="BE459" s="38"/>
      <c r="BF459" s="38"/>
      <c r="BG459" s="38"/>
      <c r="BH459" s="38"/>
      <c r="BI459" s="38"/>
      <c r="BJ459" s="38"/>
      <c r="BK459" s="38"/>
      <c r="BL459" s="38"/>
      <c r="BM459" s="38"/>
      <c r="BN459" s="38"/>
      <c r="BO459" s="38"/>
      <c r="BP459" s="38"/>
      <c r="BQ459" s="38"/>
      <c r="BR459" s="38"/>
    </row>
    <row r="460" spans="1:70">
      <c r="A460" s="38"/>
      <c r="B460" s="38"/>
      <c r="C460" s="43"/>
      <c r="D460" s="38"/>
      <c r="E460" s="38"/>
      <c r="F460" s="43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8"/>
      <c r="AJ460" s="38"/>
      <c r="AK460" s="38"/>
      <c r="AL460" s="38"/>
      <c r="AM460" s="38"/>
      <c r="AN460" s="38"/>
      <c r="AO460" s="38"/>
      <c r="AP460" s="38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  <c r="BA460" s="38"/>
      <c r="BB460" s="38"/>
      <c r="BC460" s="38"/>
      <c r="BD460" s="38"/>
      <c r="BE460" s="38"/>
      <c r="BF460" s="38"/>
      <c r="BG460" s="38"/>
      <c r="BH460" s="38"/>
      <c r="BI460" s="38"/>
      <c r="BJ460" s="38"/>
      <c r="BK460" s="38"/>
      <c r="BL460" s="38"/>
      <c r="BM460" s="38"/>
      <c r="BN460" s="38"/>
      <c r="BO460" s="38"/>
      <c r="BP460" s="38"/>
      <c r="BQ460" s="38"/>
      <c r="BR460" s="38"/>
    </row>
    <row r="461" spans="1:70">
      <c r="A461" s="38"/>
      <c r="B461" s="38"/>
      <c r="C461" s="43"/>
      <c r="D461" s="38"/>
      <c r="E461" s="38"/>
      <c r="F461" s="43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  <c r="AL461" s="38"/>
      <c r="AM461" s="38"/>
      <c r="AN461" s="38"/>
      <c r="AO461" s="38"/>
      <c r="AP461" s="38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  <c r="BA461" s="38"/>
      <c r="BB461" s="38"/>
      <c r="BC461" s="38"/>
      <c r="BD461" s="38"/>
      <c r="BE461" s="38"/>
      <c r="BF461" s="38"/>
      <c r="BG461" s="38"/>
      <c r="BH461" s="38"/>
      <c r="BI461" s="38"/>
      <c r="BJ461" s="38"/>
      <c r="BK461" s="38"/>
      <c r="BL461" s="38"/>
      <c r="BM461" s="38"/>
      <c r="BN461" s="38"/>
      <c r="BO461" s="38"/>
      <c r="BP461" s="38"/>
      <c r="BQ461" s="38"/>
      <c r="BR461" s="38"/>
    </row>
    <row r="462" spans="1:70">
      <c r="A462" s="38"/>
      <c r="B462" s="38"/>
      <c r="C462" s="43"/>
      <c r="D462" s="38"/>
      <c r="E462" s="38"/>
      <c r="F462" s="43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  <c r="AL462" s="38"/>
      <c r="AM462" s="38"/>
      <c r="AN462" s="38"/>
      <c r="AO462" s="38"/>
      <c r="AP462" s="38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  <c r="BA462" s="38"/>
      <c r="BB462" s="38"/>
      <c r="BC462" s="38"/>
      <c r="BD462" s="38"/>
      <c r="BE462" s="38"/>
      <c r="BF462" s="38"/>
      <c r="BG462" s="38"/>
      <c r="BH462" s="38"/>
      <c r="BI462" s="38"/>
      <c r="BJ462" s="38"/>
      <c r="BK462" s="38"/>
      <c r="BL462" s="38"/>
      <c r="BM462" s="38"/>
      <c r="BN462" s="38"/>
      <c r="BO462" s="38"/>
      <c r="BP462" s="38"/>
      <c r="BQ462" s="38"/>
      <c r="BR462" s="38"/>
    </row>
    <row r="463" spans="1:70">
      <c r="A463" s="38"/>
      <c r="B463" s="38"/>
      <c r="C463" s="43"/>
      <c r="D463" s="38"/>
      <c r="E463" s="38"/>
      <c r="F463" s="43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8"/>
      <c r="AJ463" s="38"/>
      <c r="AK463" s="38"/>
      <c r="AL463" s="38"/>
      <c r="AM463" s="38"/>
      <c r="AN463" s="38"/>
      <c r="AO463" s="38"/>
      <c r="AP463" s="38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  <c r="BA463" s="38"/>
      <c r="BB463" s="38"/>
      <c r="BC463" s="38"/>
      <c r="BD463" s="38"/>
      <c r="BE463" s="38"/>
      <c r="BF463" s="38"/>
      <c r="BG463" s="38"/>
      <c r="BH463" s="38"/>
      <c r="BI463" s="38"/>
      <c r="BJ463" s="38"/>
      <c r="BK463" s="38"/>
      <c r="BL463" s="38"/>
      <c r="BM463" s="38"/>
      <c r="BN463" s="38"/>
      <c r="BO463" s="38"/>
      <c r="BP463" s="38"/>
      <c r="BQ463" s="38"/>
      <c r="BR463" s="38"/>
    </row>
    <row r="464" spans="1:70">
      <c r="A464" s="38"/>
      <c r="B464" s="38"/>
      <c r="C464" s="43"/>
      <c r="D464" s="38"/>
      <c r="E464" s="38"/>
      <c r="F464" s="43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  <c r="AL464" s="38"/>
      <c r="AM464" s="38"/>
      <c r="AN464" s="38"/>
      <c r="AO464" s="38"/>
      <c r="AP464" s="38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  <c r="BA464" s="38"/>
      <c r="BB464" s="38"/>
      <c r="BC464" s="38"/>
      <c r="BD464" s="38"/>
      <c r="BE464" s="38"/>
      <c r="BF464" s="38"/>
      <c r="BG464" s="38"/>
      <c r="BH464" s="38"/>
      <c r="BI464" s="38"/>
      <c r="BJ464" s="38"/>
      <c r="BK464" s="38"/>
      <c r="BL464" s="38"/>
      <c r="BM464" s="38"/>
      <c r="BN464" s="38"/>
      <c r="BO464" s="38"/>
      <c r="BP464" s="38"/>
      <c r="BQ464" s="38"/>
      <c r="BR464" s="38"/>
    </row>
    <row r="465" spans="1:70">
      <c r="A465" s="38"/>
      <c r="B465" s="38"/>
      <c r="C465" s="43"/>
      <c r="D465" s="38"/>
      <c r="E465" s="38"/>
      <c r="F465" s="43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  <c r="AL465" s="38"/>
      <c r="AM465" s="38"/>
      <c r="AN465" s="38"/>
      <c r="AO465" s="38"/>
      <c r="AP465" s="38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  <c r="BA465" s="38"/>
      <c r="BB465" s="38"/>
      <c r="BC465" s="38"/>
      <c r="BD465" s="38"/>
      <c r="BE465" s="38"/>
      <c r="BF465" s="38"/>
      <c r="BG465" s="38"/>
      <c r="BH465" s="38"/>
      <c r="BI465" s="38"/>
      <c r="BJ465" s="38"/>
      <c r="BK465" s="38"/>
      <c r="BL465" s="38"/>
      <c r="BM465" s="38"/>
      <c r="BN465" s="38"/>
      <c r="BO465" s="38"/>
      <c r="BP465" s="38"/>
      <c r="BQ465" s="38"/>
      <c r="BR465" s="38"/>
    </row>
    <row r="466" spans="1:70">
      <c r="A466" s="38"/>
      <c r="B466" s="38"/>
      <c r="C466" s="43"/>
      <c r="D466" s="38"/>
      <c r="E466" s="38"/>
      <c r="F466" s="43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  <c r="AL466" s="38"/>
      <c r="AM466" s="38"/>
      <c r="AN466" s="38"/>
      <c r="AO466" s="38"/>
      <c r="AP466" s="38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  <c r="BA466" s="38"/>
      <c r="BB466" s="38"/>
      <c r="BC466" s="38"/>
      <c r="BD466" s="38"/>
      <c r="BE466" s="38"/>
      <c r="BF466" s="38"/>
      <c r="BG466" s="38"/>
      <c r="BH466" s="38"/>
      <c r="BI466" s="38"/>
      <c r="BJ466" s="38"/>
      <c r="BK466" s="38"/>
      <c r="BL466" s="38"/>
      <c r="BM466" s="38"/>
      <c r="BN466" s="38"/>
      <c r="BO466" s="38"/>
      <c r="BP466" s="38"/>
      <c r="BQ466" s="38"/>
      <c r="BR466" s="38"/>
    </row>
    <row r="467" spans="1:70">
      <c r="A467" s="38"/>
      <c r="B467" s="38"/>
      <c r="C467" s="43"/>
      <c r="D467" s="38"/>
      <c r="E467" s="38"/>
      <c r="F467" s="43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  <c r="AL467" s="38"/>
      <c r="AM467" s="38"/>
      <c r="AN467" s="38"/>
      <c r="AO467" s="38"/>
      <c r="AP467" s="38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  <c r="BA467" s="38"/>
      <c r="BB467" s="38"/>
      <c r="BC467" s="38"/>
      <c r="BD467" s="38"/>
      <c r="BE467" s="38"/>
      <c r="BF467" s="38"/>
      <c r="BG467" s="38"/>
      <c r="BH467" s="38"/>
      <c r="BI467" s="38"/>
      <c r="BJ467" s="38"/>
      <c r="BK467" s="38"/>
      <c r="BL467" s="38"/>
      <c r="BM467" s="38"/>
      <c r="BN467" s="38"/>
      <c r="BO467" s="38"/>
      <c r="BP467" s="38"/>
      <c r="BQ467" s="38"/>
      <c r="BR467" s="38"/>
    </row>
    <row r="468" spans="1:70">
      <c r="A468" s="38"/>
      <c r="B468" s="38"/>
      <c r="C468" s="43"/>
      <c r="D468" s="38"/>
      <c r="E468" s="38"/>
      <c r="F468" s="43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  <c r="AL468" s="38"/>
      <c r="AM468" s="38"/>
      <c r="AN468" s="38"/>
      <c r="AO468" s="38"/>
      <c r="AP468" s="38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  <c r="BA468" s="38"/>
      <c r="BB468" s="38"/>
      <c r="BC468" s="38"/>
      <c r="BD468" s="38"/>
      <c r="BE468" s="38"/>
      <c r="BF468" s="38"/>
      <c r="BG468" s="38"/>
      <c r="BH468" s="38"/>
      <c r="BI468" s="38"/>
      <c r="BJ468" s="38"/>
      <c r="BK468" s="38"/>
      <c r="BL468" s="38"/>
      <c r="BM468" s="38"/>
      <c r="BN468" s="38"/>
      <c r="BO468" s="38"/>
      <c r="BP468" s="38"/>
      <c r="BQ468" s="38"/>
      <c r="BR468" s="38"/>
    </row>
    <row r="469" spans="1:70">
      <c r="A469" s="38"/>
      <c r="B469" s="38"/>
      <c r="C469" s="43"/>
      <c r="D469" s="38"/>
      <c r="E469" s="38"/>
      <c r="F469" s="43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  <c r="AL469" s="38"/>
      <c r="AM469" s="38"/>
      <c r="AN469" s="38"/>
      <c r="AO469" s="38"/>
      <c r="AP469" s="38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  <c r="BA469" s="38"/>
      <c r="BB469" s="38"/>
      <c r="BC469" s="38"/>
      <c r="BD469" s="38"/>
      <c r="BE469" s="38"/>
      <c r="BF469" s="38"/>
      <c r="BG469" s="38"/>
      <c r="BH469" s="38"/>
      <c r="BI469" s="38"/>
      <c r="BJ469" s="38"/>
      <c r="BK469" s="38"/>
      <c r="BL469" s="38"/>
      <c r="BM469" s="38"/>
      <c r="BN469" s="38"/>
      <c r="BO469" s="38"/>
      <c r="BP469" s="38"/>
      <c r="BQ469" s="38"/>
      <c r="BR469" s="38"/>
    </row>
    <row r="470" spans="1:70">
      <c r="A470" s="38"/>
      <c r="B470" s="38"/>
      <c r="C470" s="43"/>
      <c r="D470" s="38"/>
      <c r="E470" s="38"/>
      <c r="F470" s="43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  <c r="AL470" s="38"/>
      <c r="AM470" s="38"/>
      <c r="AN470" s="38"/>
      <c r="AO470" s="38"/>
      <c r="AP470" s="38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  <c r="BA470" s="38"/>
      <c r="BB470" s="38"/>
      <c r="BC470" s="38"/>
      <c r="BD470" s="38"/>
      <c r="BE470" s="38"/>
      <c r="BF470" s="38"/>
      <c r="BG470" s="38"/>
      <c r="BH470" s="38"/>
      <c r="BI470" s="38"/>
      <c r="BJ470" s="38"/>
      <c r="BK470" s="38"/>
      <c r="BL470" s="38"/>
      <c r="BM470" s="38"/>
      <c r="BN470" s="38"/>
      <c r="BO470" s="38"/>
      <c r="BP470" s="38"/>
      <c r="BQ470" s="38"/>
      <c r="BR470" s="38"/>
    </row>
    <row r="471" spans="1:70">
      <c r="A471" s="38"/>
      <c r="B471" s="38"/>
      <c r="C471" s="43"/>
      <c r="D471" s="38"/>
      <c r="E471" s="38"/>
      <c r="F471" s="43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  <c r="AL471" s="38"/>
      <c r="AM471" s="38"/>
      <c r="AN471" s="38"/>
      <c r="AO471" s="38"/>
      <c r="AP471" s="38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  <c r="BA471" s="38"/>
      <c r="BB471" s="38"/>
      <c r="BC471" s="38"/>
      <c r="BD471" s="38"/>
      <c r="BE471" s="38"/>
      <c r="BF471" s="38"/>
      <c r="BG471" s="38"/>
      <c r="BH471" s="38"/>
      <c r="BI471" s="38"/>
      <c r="BJ471" s="38"/>
      <c r="BK471" s="38"/>
      <c r="BL471" s="38"/>
      <c r="BM471" s="38"/>
      <c r="BN471" s="38"/>
      <c r="BO471" s="38"/>
      <c r="BP471" s="38"/>
      <c r="BQ471" s="38"/>
      <c r="BR471" s="38"/>
    </row>
    <row r="472" spans="1:70">
      <c r="A472" s="38"/>
      <c r="B472" s="38"/>
      <c r="C472" s="43"/>
      <c r="D472" s="38"/>
      <c r="E472" s="38"/>
      <c r="F472" s="43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  <c r="AL472" s="38"/>
      <c r="AM472" s="38"/>
      <c r="AN472" s="38"/>
      <c r="AO472" s="38"/>
      <c r="AP472" s="38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  <c r="BA472" s="38"/>
      <c r="BB472" s="38"/>
      <c r="BC472" s="38"/>
      <c r="BD472" s="38"/>
      <c r="BE472" s="38"/>
      <c r="BF472" s="38"/>
      <c r="BG472" s="38"/>
      <c r="BH472" s="38"/>
      <c r="BI472" s="38"/>
      <c r="BJ472" s="38"/>
      <c r="BK472" s="38"/>
      <c r="BL472" s="38"/>
      <c r="BM472" s="38"/>
      <c r="BN472" s="38"/>
      <c r="BO472" s="38"/>
      <c r="BP472" s="38"/>
      <c r="BQ472" s="38"/>
      <c r="BR472" s="38"/>
    </row>
    <row r="473" spans="1:70">
      <c r="A473" s="38"/>
      <c r="B473" s="38"/>
      <c r="C473" s="43"/>
      <c r="D473" s="38"/>
      <c r="E473" s="38"/>
      <c r="F473" s="43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  <c r="AL473" s="38"/>
      <c r="AM473" s="38"/>
      <c r="AN473" s="38"/>
      <c r="AO473" s="38"/>
      <c r="AP473" s="38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  <c r="BA473" s="38"/>
      <c r="BB473" s="38"/>
      <c r="BC473" s="38"/>
      <c r="BD473" s="38"/>
      <c r="BE473" s="38"/>
      <c r="BF473" s="38"/>
      <c r="BG473" s="38"/>
      <c r="BH473" s="38"/>
      <c r="BI473" s="38"/>
      <c r="BJ473" s="38"/>
      <c r="BK473" s="38"/>
      <c r="BL473" s="38"/>
      <c r="BM473" s="38"/>
      <c r="BN473" s="38"/>
      <c r="BO473" s="38"/>
      <c r="BP473" s="38"/>
      <c r="BQ473" s="38"/>
      <c r="BR473" s="38"/>
    </row>
    <row r="474" spans="1:70">
      <c r="A474" s="38"/>
      <c r="B474" s="38"/>
      <c r="C474" s="43"/>
      <c r="D474" s="38"/>
      <c r="E474" s="38"/>
      <c r="F474" s="43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  <c r="AL474" s="38"/>
      <c r="AM474" s="38"/>
      <c r="AN474" s="38"/>
      <c r="AO474" s="38"/>
      <c r="AP474" s="38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  <c r="BA474" s="38"/>
      <c r="BB474" s="38"/>
      <c r="BC474" s="38"/>
      <c r="BD474" s="38"/>
      <c r="BE474" s="38"/>
      <c r="BF474" s="38"/>
      <c r="BG474" s="38"/>
      <c r="BH474" s="38"/>
      <c r="BI474" s="38"/>
      <c r="BJ474" s="38"/>
      <c r="BK474" s="38"/>
      <c r="BL474" s="38"/>
      <c r="BM474" s="38"/>
      <c r="BN474" s="38"/>
      <c r="BO474" s="38"/>
      <c r="BP474" s="38"/>
      <c r="BQ474" s="38"/>
      <c r="BR474" s="38"/>
    </row>
    <row r="475" spans="1:70">
      <c r="A475" s="38"/>
      <c r="B475" s="38"/>
      <c r="C475" s="43"/>
      <c r="D475" s="38"/>
      <c r="E475" s="38"/>
      <c r="F475" s="43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8"/>
      <c r="AJ475" s="38"/>
      <c r="AK475" s="38"/>
      <c r="AL475" s="38"/>
      <c r="AM475" s="38"/>
      <c r="AN475" s="38"/>
      <c r="AO475" s="38"/>
      <c r="AP475" s="38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  <c r="BA475" s="38"/>
      <c r="BB475" s="38"/>
      <c r="BC475" s="38"/>
      <c r="BD475" s="38"/>
      <c r="BE475" s="38"/>
      <c r="BF475" s="38"/>
      <c r="BG475" s="38"/>
      <c r="BH475" s="38"/>
      <c r="BI475" s="38"/>
      <c r="BJ475" s="38"/>
      <c r="BK475" s="38"/>
      <c r="BL475" s="38"/>
      <c r="BM475" s="38"/>
      <c r="BN475" s="38"/>
      <c r="BO475" s="38"/>
      <c r="BP475" s="38"/>
      <c r="BQ475" s="38"/>
      <c r="BR475" s="38"/>
    </row>
    <row r="476" spans="1:70">
      <c r="A476" s="38"/>
      <c r="B476" s="38"/>
      <c r="C476" s="43"/>
      <c r="D476" s="38"/>
      <c r="E476" s="38"/>
      <c r="F476" s="43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  <c r="AL476" s="38"/>
      <c r="AM476" s="38"/>
      <c r="AN476" s="38"/>
      <c r="AO476" s="38"/>
      <c r="AP476" s="38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  <c r="BA476" s="38"/>
      <c r="BB476" s="38"/>
      <c r="BC476" s="38"/>
      <c r="BD476" s="38"/>
      <c r="BE476" s="38"/>
      <c r="BF476" s="38"/>
      <c r="BG476" s="38"/>
      <c r="BH476" s="38"/>
      <c r="BI476" s="38"/>
      <c r="BJ476" s="38"/>
      <c r="BK476" s="38"/>
      <c r="BL476" s="38"/>
      <c r="BM476" s="38"/>
      <c r="BN476" s="38"/>
      <c r="BO476" s="38"/>
      <c r="BP476" s="38"/>
      <c r="BQ476" s="38"/>
      <c r="BR476" s="38"/>
    </row>
    <row r="477" spans="1:70">
      <c r="A477" s="38"/>
      <c r="B477" s="38"/>
      <c r="C477" s="43"/>
      <c r="D477" s="38"/>
      <c r="E477" s="38"/>
      <c r="F477" s="43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  <c r="AL477" s="38"/>
      <c r="AM477" s="38"/>
      <c r="AN477" s="38"/>
      <c r="AO477" s="38"/>
      <c r="AP477" s="38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  <c r="BA477" s="38"/>
      <c r="BB477" s="38"/>
      <c r="BC477" s="38"/>
      <c r="BD477" s="38"/>
      <c r="BE477" s="38"/>
      <c r="BF477" s="38"/>
      <c r="BG477" s="38"/>
      <c r="BH477" s="38"/>
      <c r="BI477" s="38"/>
      <c r="BJ477" s="38"/>
      <c r="BK477" s="38"/>
      <c r="BL477" s="38"/>
      <c r="BM477" s="38"/>
      <c r="BN477" s="38"/>
      <c r="BO477" s="38"/>
      <c r="BP477" s="38"/>
      <c r="BQ477" s="38"/>
      <c r="BR477" s="38"/>
    </row>
    <row r="478" spans="1:70">
      <c r="A478" s="38"/>
      <c r="B478" s="38"/>
      <c r="C478" s="43"/>
      <c r="D478" s="38"/>
      <c r="E478" s="38"/>
      <c r="F478" s="43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  <c r="AL478" s="38"/>
      <c r="AM478" s="38"/>
      <c r="AN478" s="38"/>
      <c r="AO478" s="38"/>
      <c r="AP478" s="38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  <c r="BA478" s="38"/>
      <c r="BB478" s="38"/>
      <c r="BC478" s="38"/>
      <c r="BD478" s="38"/>
      <c r="BE478" s="38"/>
      <c r="BF478" s="38"/>
      <c r="BG478" s="38"/>
      <c r="BH478" s="38"/>
      <c r="BI478" s="38"/>
      <c r="BJ478" s="38"/>
      <c r="BK478" s="38"/>
      <c r="BL478" s="38"/>
      <c r="BM478" s="38"/>
      <c r="BN478" s="38"/>
      <c r="BO478" s="38"/>
      <c r="BP478" s="38"/>
      <c r="BQ478" s="38"/>
      <c r="BR478" s="38"/>
    </row>
    <row r="479" spans="1:70">
      <c r="A479" s="38"/>
      <c r="B479" s="38"/>
      <c r="C479" s="43"/>
      <c r="D479" s="38"/>
      <c r="E479" s="38"/>
      <c r="F479" s="43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  <c r="AL479" s="38"/>
      <c r="AM479" s="38"/>
      <c r="AN479" s="38"/>
      <c r="AO479" s="38"/>
      <c r="AP479" s="38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  <c r="BA479" s="38"/>
      <c r="BB479" s="38"/>
      <c r="BC479" s="38"/>
      <c r="BD479" s="38"/>
      <c r="BE479" s="38"/>
      <c r="BF479" s="38"/>
      <c r="BG479" s="38"/>
      <c r="BH479" s="38"/>
      <c r="BI479" s="38"/>
      <c r="BJ479" s="38"/>
      <c r="BK479" s="38"/>
      <c r="BL479" s="38"/>
      <c r="BM479" s="38"/>
      <c r="BN479" s="38"/>
      <c r="BO479" s="38"/>
      <c r="BP479" s="38"/>
      <c r="BQ479" s="38"/>
      <c r="BR479" s="38"/>
    </row>
    <row r="480" spans="1:70">
      <c r="A480" s="38"/>
      <c r="B480" s="38"/>
      <c r="C480" s="43"/>
      <c r="D480" s="38"/>
      <c r="E480" s="38"/>
      <c r="F480" s="43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  <c r="AL480" s="38"/>
      <c r="AM480" s="38"/>
      <c r="AN480" s="38"/>
      <c r="AO480" s="38"/>
      <c r="AP480" s="38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  <c r="BA480" s="38"/>
      <c r="BB480" s="38"/>
      <c r="BC480" s="38"/>
      <c r="BD480" s="38"/>
      <c r="BE480" s="38"/>
      <c r="BF480" s="38"/>
      <c r="BG480" s="38"/>
      <c r="BH480" s="38"/>
      <c r="BI480" s="38"/>
      <c r="BJ480" s="38"/>
      <c r="BK480" s="38"/>
      <c r="BL480" s="38"/>
      <c r="BM480" s="38"/>
      <c r="BN480" s="38"/>
      <c r="BO480" s="38"/>
      <c r="BP480" s="38"/>
      <c r="BQ480" s="38"/>
      <c r="BR480" s="38"/>
    </row>
    <row r="481" spans="1:70">
      <c r="A481" s="38"/>
      <c r="B481" s="38"/>
      <c r="C481" s="43"/>
      <c r="D481" s="38"/>
      <c r="E481" s="38"/>
      <c r="F481" s="43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8"/>
      <c r="AJ481" s="38"/>
      <c r="AK481" s="38"/>
      <c r="AL481" s="38"/>
      <c r="AM481" s="38"/>
      <c r="AN481" s="38"/>
      <c r="AO481" s="38"/>
      <c r="AP481" s="38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  <c r="BA481" s="38"/>
      <c r="BB481" s="38"/>
      <c r="BC481" s="38"/>
      <c r="BD481" s="38"/>
      <c r="BE481" s="38"/>
      <c r="BF481" s="38"/>
      <c r="BG481" s="38"/>
      <c r="BH481" s="38"/>
      <c r="BI481" s="38"/>
      <c r="BJ481" s="38"/>
      <c r="BK481" s="38"/>
      <c r="BL481" s="38"/>
      <c r="BM481" s="38"/>
      <c r="BN481" s="38"/>
      <c r="BO481" s="38"/>
      <c r="BP481" s="38"/>
      <c r="BQ481" s="38"/>
      <c r="BR481" s="38"/>
    </row>
    <row r="482" spans="1:70">
      <c r="A482" s="38"/>
      <c r="B482" s="38"/>
      <c r="C482" s="43"/>
      <c r="D482" s="38"/>
      <c r="E482" s="38"/>
      <c r="F482" s="43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8"/>
      <c r="AJ482" s="38"/>
      <c r="AK482" s="38"/>
      <c r="AL482" s="38"/>
      <c r="AM482" s="38"/>
      <c r="AN482" s="38"/>
      <c r="AO482" s="38"/>
      <c r="AP482" s="38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  <c r="BA482" s="38"/>
      <c r="BB482" s="38"/>
      <c r="BC482" s="38"/>
      <c r="BD482" s="38"/>
      <c r="BE482" s="38"/>
      <c r="BF482" s="38"/>
      <c r="BG482" s="38"/>
      <c r="BH482" s="38"/>
      <c r="BI482" s="38"/>
      <c r="BJ482" s="38"/>
      <c r="BK482" s="38"/>
      <c r="BL482" s="38"/>
      <c r="BM482" s="38"/>
      <c r="BN482" s="38"/>
      <c r="BO482" s="38"/>
      <c r="BP482" s="38"/>
      <c r="BQ482" s="38"/>
      <c r="BR482" s="38"/>
    </row>
    <row r="483" spans="1:70">
      <c r="A483" s="38"/>
      <c r="B483" s="38"/>
      <c r="C483" s="43"/>
      <c r="D483" s="38"/>
      <c r="E483" s="38"/>
      <c r="F483" s="43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/>
      <c r="AJ483" s="38"/>
      <c r="AK483" s="38"/>
      <c r="AL483" s="38"/>
      <c r="AM483" s="38"/>
      <c r="AN483" s="38"/>
      <c r="AO483" s="38"/>
      <c r="AP483" s="38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  <c r="BA483" s="38"/>
      <c r="BB483" s="38"/>
      <c r="BC483" s="38"/>
      <c r="BD483" s="38"/>
      <c r="BE483" s="38"/>
      <c r="BF483" s="38"/>
      <c r="BG483" s="38"/>
      <c r="BH483" s="38"/>
      <c r="BI483" s="38"/>
      <c r="BJ483" s="38"/>
      <c r="BK483" s="38"/>
      <c r="BL483" s="38"/>
      <c r="BM483" s="38"/>
      <c r="BN483" s="38"/>
      <c r="BO483" s="38"/>
      <c r="BP483" s="38"/>
      <c r="BQ483" s="38"/>
      <c r="BR483" s="38"/>
    </row>
    <row r="484" spans="1:70">
      <c r="A484" s="38"/>
      <c r="B484" s="38"/>
      <c r="C484" s="43"/>
      <c r="D484" s="38"/>
      <c r="E484" s="38"/>
      <c r="F484" s="43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8"/>
      <c r="AJ484" s="38"/>
      <c r="AK484" s="38"/>
      <c r="AL484" s="38"/>
      <c r="AM484" s="38"/>
      <c r="AN484" s="38"/>
      <c r="AO484" s="38"/>
      <c r="AP484" s="38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  <c r="BA484" s="38"/>
      <c r="BB484" s="38"/>
      <c r="BC484" s="38"/>
      <c r="BD484" s="38"/>
      <c r="BE484" s="38"/>
      <c r="BF484" s="38"/>
      <c r="BG484" s="38"/>
      <c r="BH484" s="38"/>
      <c r="BI484" s="38"/>
      <c r="BJ484" s="38"/>
      <c r="BK484" s="38"/>
      <c r="BL484" s="38"/>
      <c r="BM484" s="38"/>
      <c r="BN484" s="38"/>
      <c r="BO484" s="38"/>
      <c r="BP484" s="38"/>
      <c r="BQ484" s="38"/>
      <c r="BR484" s="38"/>
    </row>
    <row r="485" spans="1:70">
      <c r="A485" s="38"/>
      <c r="B485" s="38"/>
      <c r="C485" s="43"/>
      <c r="D485" s="38"/>
      <c r="E485" s="38"/>
      <c r="F485" s="43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8"/>
      <c r="AJ485" s="38"/>
      <c r="AK485" s="38"/>
      <c r="AL485" s="38"/>
      <c r="AM485" s="38"/>
      <c r="AN485" s="38"/>
      <c r="AO485" s="38"/>
      <c r="AP485" s="38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  <c r="BA485" s="38"/>
      <c r="BB485" s="38"/>
      <c r="BC485" s="38"/>
      <c r="BD485" s="38"/>
      <c r="BE485" s="38"/>
      <c r="BF485" s="38"/>
      <c r="BG485" s="38"/>
      <c r="BH485" s="38"/>
      <c r="BI485" s="38"/>
      <c r="BJ485" s="38"/>
      <c r="BK485" s="38"/>
      <c r="BL485" s="38"/>
      <c r="BM485" s="38"/>
      <c r="BN485" s="38"/>
      <c r="BO485" s="38"/>
      <c r="BP485" s="38"/>
      <c r="BQ485" s="38"/>
      <c r="BR485" s="38"/>
    </row>
    <row r="486" spans="1:70">
      <c r="A486" s="38"/>
      <c r="B486" s="38"/>
      <c r="C486" s="43"/>
      <c r="D486" s="38"/>
      <c r="E486" s="38"/>
      <c r="F486" s="43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8"/>
      <c r="AJ486" s="38"/>
      <c r="AK486" s="38"/>
      <c r="AL486" s="38"/>
      <c r="AM486" s="38"/>
      <c r="AN486" s="38"/>
      <c r="AO486" s="38"/>
      <c r="AP486" s="38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  <c r="BA486" s="38"/>
      <c r="BB486" s="38"/>
      <c r="BC486" s="38"/>
      <c r="BD486" s="38"/>
      <c r="BE486" s="38"/>
      <c r="BF486" s="38"/>
      <c r="BG486" s="38"/>
      <c r="BH486" s="38"/>
      <c r="BI486" s="38"/>
      <c r="BJ486" s="38"/>
      <c r="BK486" s="38"/>
      <c r="BL486" s="38"/>
      <c r="BM486" s="38"/>
      <c r="BN486" s="38"/>
      <c r="BO486" s="38"/>
      <c r="BP486" s="38"/>
      <c r="BQ486" s="38"/>
      <c r="BR486" s="38"/>
    </row>
    <row r="487" spans="1:70">
      <c r="A487" s="38"/>
      <c r="B487" s="38"/>
      <c r="C487" s="43"/>
      <c r="D487" s="38"/>
      <c r="E487" s="38"/>
      <c r="F487" s="43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8"/>
      <c r="AJ487" s="38"/>
      <c r="AK487" s="38"/>
      <c r="AL487" s="38"/>
      <c r="AM487" s="38"/>
      <c r="AN487" s="38"/>
      <c r="AO487" s="38"/>
      <c r="AP487" s="38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  <c r="BA487" s="38"/>
      <c r="BB487" s="38"/>
      <c r="BC487" s="38"/>
      <c r="BD487" s="38"/>
      <c r="BE487" s="38"/>
      <c r="BF487" s="38"/>
      <c r="BG487" s="38"/>
      <c r="BH487" s="38"/>
      <c r="BI487" s="38"/>
      <c r="BJ487" s="38"/>
      <c r="BK487" s="38"/>
      <c r="BL487" s="38"/>
      <c r="BM487" s="38"/>
      <c r="BN487" s="38"/>
      <c r="BO487" s="38"/>
      <c r="BP487" s="38"/>
      <c r="BQ487" s="38"/>
      <c r="BR487" s="38"/>
    </row>
    <row r="488" spans="1:70">
      <c r="A488" s="38"/>
      <c r="B488" s="38"/>
      <c r="C488" s="43"/>
      <c r="D488" s="38"/>
      <c r="E488" s="38"/>
      <c r="F488" s="43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8"/>
      <c r="AJ488" s="38"/>
      <c r="AK488" s="38"/>
      <c r="AL488" s="38"/>
      <c r="AM488" s="38"/>
      <c r="AN488" s="38"/>
      <c r="AO488" s="38"/>
      <c r="AP488" s="38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  <c r="BA488" s="38"/>
      <c r="BB488" s="38"/>
      <c r="BC488" s="38"/>
      <c r="BD488" s="38"/>
      <c r="BE488" s="38"/>
      <c r="BF488" s="38"/>
      <c r="BG488" s="38"/>
      <c r="BH488" s="38"/>
      <c r="BI488" s="38"/>
      <c r="BJ488" s="38"/>
      <c r="BK488" s="38"/>
      <c r="BL488" s="38"/>
      <c r="BM488" s="38"/>
      <c r="BN488" s="38"/>
      <c r="BO488" s="38"/>
      <c r="BP488" s="38"/>
      <c r="BQ488" s="38"/>
      <c r="BR488" s="38"/>
    </row>
    <row r="489" spans="1:70">
      <c r="A489" s="38"/>
      <c r="B489" s="38"/>
      <c r="C489" s="43"/>
      <c r="D489" s="38"/>
      <c r="E489" s="38"/>
      <c r="F489" s="43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8"/>
      <c r="AJ489" s="38"/>
      <c r="AK489" s="38"/>
      <c r="AL489" s="38"/>
      <c r="AM489" s="38"/>
      <c r="AN489" s="38"/>
      <c r="AO489" s="38"/>
      <c r="AP489" s="38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  <c r="BA489" s="38"/>
      <c r="BB489" s="38"/>
      <c r="BC489" s="38"/>
      <c r="BD489" s="38"/>
      <c r="BE489" s="38"/>
      <c r="BF489" s="38"/>
      <c r="BG489" s="38"/>
      <c r="BH489" s="38"/>
      <c r="BI489" s="38"/>
      <c r="BJ489" s="38"/>
      <c r="BK489" s="38"/>
      <c r="BL489" s="38"/>
      <c r="BM489" s="38"/>
      <c r="BN489" s="38"/>
      <c r="BO489" s="38"/>
      <c r="BP489" s="38"/>
      <c r="BQ489" s="38"/>
      <c r="BR489" s="38"/>
    </row>
    <row r="490" spans="1:70">
      <c r="A490" s="38"/>
      <c r="B490" s="38"/>
      <c r="C490" s="43"/>
      <c r="D490" s="38"/>
      <c r="E490" s="38"/>
      <c r="F490" s="43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8"/>
      <c r="AJ490" s="38"/>
      <c r="AK490" s="38"/>
      <c r="AL490" s="38"/>
      <c r="AM490" s="38"/>
      <c r="AN490" s="38"/>
      <c r="AO490" s="38"/>
      <c r="AP490" s="38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  <c r="BA490" s="38"/>
      <c r="BB490" s="38"/>
      <c r="BC490" s="38"/>
      <c r="BD490" s="38"/>
      <c r="BE490" s="38"/>
      <c r="BF490" s="38"/>
      <c r="BG490" s="38"/>
      <c r="BH490" s="38"/>
      <c r="BI490" s="38"/>
      <c r="BJ490" s="38"/>
      <c r="BK490" s="38"/>
      <c r="BL490" s="38"/>
      <c r="BM490" s="38"/>
      <c r="BN490" s="38"/>
      <c r="BO490" s="38"/>
      <c r="BP490" s="38"/>
      <c r="BQ490" s="38"/>
      <c r="BR490" s="38"/>
    </row>
    <row r="491" spans="1:70">
      <c r="A491" s="38"/>
      <c r="B491" s="38"/>
      <c r="C491" s="43"/>
      <c r="D491" s="38"/>
      <c r="E491" s="38"/>
      <c r="F491" s="43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8"/>
      <c r="AJ491" s="38"/>
      <c r="AK491" s="38"/>
      <c r="AL491" s="38"/>
      <c r="AM491" s="38"/>
      <c r="AN491" s="38"/>
      <c r="AO491" s="38"/>
      <c r="AP491" s="38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  <c r="BA491" s="38"/>
      <c r="BB491" s="38"/>
      <c r="BC491" s="38"/>
      <c r="BD491" s="38"/>
      <c r="BE491" s="38"/>
      <c r="BF491" s="38"/>
      <c r="BG491" s="38"/>
      <c r="BH491" s="38"/>
      <c r="BI491" s="38"/>
      <c r="BJ491" s="38"/>
      <c r="BK491" s="38"/>
      <c r="BL491" s="38"/>
      <c r="BM491" s="38"/>
      <c r="BN491" s="38"/>
      <c r="BO491" s="38"/>
      <c r="BP491" s="38"/>
      <c r="BQ491" s="38"/>
      <c r="BR491" s="38"/>
    </row>
    <row r="492" spans="1:70">
      <c r="A492" s="38"/>
      <c r="B492" s="38"/>
      <c r="C492" s="43"/>
      <c r="D492" s="38"/>
      <c r="E492" s="38"/>
      <c r="F492" s="43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8"/>
      <c r="AJ492" s="38"/>
      <c r="AK492" s="38"/>
      <c r="AL492" s="38"/>
      <c r="AM492" s="38"/>
      <c r="AN492" s="38"/>
      <c r="AO492" s="38"/>
      <c r="AP492" s="38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  <c r="BA492" s="38"/>
      <c r="BB492" s="38"/>
      <c r="BC492" s="38"/>
      <c r="BD492" s="38"/>
      <c r="BE492" s="38"/>
      <c r="BF492" s="38"/>
      <c r="BG492" s="38"/>
      <c r="BH492" s="38"/>
      <c r="BI492" s="38"/>
      <c r="BJ492" s="38"/>
      <c r="BK492" s="38"/>
      <c r="BL492" s="38"/>
      <c r="BM492" s="38"/>
      <c r="BN492" s="38"/>
      <c r="BO492" s="38"/>
      <c r="BP492" s="38"/>
      <c r="BQ492" s="38"/>
      <c r="BR492" s="38"/>
    </row>
    <row r="493" spans="1:70">
      <c r="A493" s="38"/>
      <c r="B493" s="38"/>
      <c r="C493" s="43"/>
      <c r="D493" s="38"/>
      <c r="E493" s="38"/>
      <c r="F493" s="43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8"/>
      <c r="AJ493" s="38"/>
      <c r="AK493" s="38"/>
      <c r="AL493" s="38"/>
      <c r="AM493" s="38"/>
      <c r="AN493" s="38"/>
      <c r="AO493" s="38"/>
      <c r="AP493" s="38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  <c r="BA493" s="38"/>
      <c r="BB493" s="38"/>
      <c r="BC493" s="38"/>
      <c r="BD493" s="38"/>
      <c r="BE493" s="38"/>
      <c r="BF493" s="38"/>
      <c r="BG493" s="38"/>
      <c r="BH493" s="38"/>
      <c r="BI493" s="38"/>
      <c r="BJ493" s="38"/>
      <c r="BK493" s="38"/>
      <c r="BL493" s="38"/>
      <c r="BM493" s="38"/>
      <c r="BN493" s="38"/>
      <c r="BO493" s="38"/>
      <c r="BP493" s="38"/>
      <c r="BQ493" s="38"/>
      <c r="BR493" s="38"/>
    </row>
    <row r="494" spans="1:70">
      <c r="A494" s="38"/>
      <c r="B494" s="38"/>
      <c r="C494" s="43"/>
      <c r="D494" s="38"/>
      <c r="E494" s="38"/>
      <c r="F494" s="43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8"/>
      <c r="AJ494" s="38"/>
      <c r="AK494" s="38"/>
      <c r="AL494" s="38"/>
      <c r="AM494" s="38"/>
      <c r="AN494" s="38"/>
      <c r="AO494" s="38"/>
      <c r="AP494" s="38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  <c r="BA494" s="38"/>
      <c r="BB494" s="38"/>
      <c r="BC494" s="38"/>
      <c r="BD494" s="38"/>
      <c r="BE494" s="38"/>
      <c r="BF494" s="38"/>
      <c r="BG494" s="38"/>
      <c r="BH494" s="38"/>
      <c r="BI494" s="38"/>
      <c r="BJ494" s="38"/>
      <c r="BK494" s="38"/>
      <c r="BL494" s="38"/>
      <c r="BM494" s="38"/>
      <c r="BN494" s="38"/>
      <c r="BO494" s="38"/>
      <c r="BP494" s="38"/>
      <c r="BQ494" s="38"/>
      <c r="BR494" s="38"/>
    </row>
    <row r="495" spans="1:70">
      <c r="A495" s="38"/>
      <c r="B495" s="38"/>
      <c r="C495" s="43"/>
      <c r="D495" s="38"/>
      <c r="E495" s="38"/>
      <c r="F495" s="43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8"/>
      <c r="AJ495" s="38"/>
      <c r="AK495" s="38"/>
      <c r="AL495" s="38"/>
      <c r="AM495" s="38"/>
      <c r="AN495" s="38"/>
      <c r="AO495" s="38"/>
      <c r="AP495" s="38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  <c r="BA495" s="38"/>
      <c r="BB495" s="38"/>
      <c r="BC495" s="38"/>
      <c r="BD495" s="38"/>
      <c r="BE495" s="38"/>
      <c r="BF495" s="38"/>
      <c r="BG495" s="38"/>
      <c r="BH495" s="38"/>
      <c r="BI495" s="38"/>
      <c r="BJ495" s="38"/>
      <c r="BK495" s="38"/>
      <c r="BL495" s="38"/>
      <c r="BM495" s="38"/>
      <c r="BN495" s="38"/>
      <c r="BO495" s="38"/>
      <c r="BP495" s="38"/>
      <c r="BQ495" s="38"/>
      <c r="BR495" s="38"/>
    </row>
    <row r="496" spans="1:70">
      <c r="A496" s="38"/>
      <c r="B496" s="38"/>
      <c r="C496" s="43"/>
      <c r="D496" s="38"/>
      <c r="E496" s="38"/>
      <c r="F496" s="43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AK496" s="38"/>
      <c r="AL496" s="38"/>
      <c r="AM496" s="38"/>
      <c r="AN496" s="38"/>
      <c r="AO496" s="38"/>
      <c r="AP496" s="38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  <c r="BA496" s="38"/>
      <c r="BB496" s="38"/>
      <c r="BC496" s="38"/>
      <c r="BD496" s="38"/>
      <c r="BE496" s="38"/>
      <c r="BF496" s="38"/>
      <c r="BG496" s="38"/>
      <c r="BH496" s="38"/>
      <c r="BI496" s="38"/>
      <c r="BJ496" s="38"/>
      <c r="BK496" s="38"/>
      <c r="BL496" s="38"/>
      <c r="BM496" s="38"/>
      <c r="BN496" s="38"/>
      <c r="BO496" s="38"/>
      <c r="BP496" s="38"/>
      <c r="BQ496" s="38"/>
      <c r="BR496" s="38"/>
    </row>
    <row r="497" spans="1:70">
      <c r="A497" s="38"/>
      <c r="B497" s="38"/>
      <c r="C497" s="43"/>
      <c r="D497" s="38"/>
      <c r="E497" s="38"/>
      <c r="F497" s="43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8"/>
      <c r="AJ497" s="38"/>
      <c r="AK497" s="38"/>
      <c r="AL497" s="38"/>
      <c r="AM497" s="38"/>
      <c r="AN497" s="38"/>
      <c r="AO497" s="38"/>
      <c r="AP497" s="38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  <c r="BA497" s="38"/>
      <c r="BB497" s="38"/>
      <c r="BC497" s="38"/>
      <c r="BD497" s="38"/>
      <c r="BE497" s="38"/>
      <c r="BF497" s="38"/>
      <c r="BG497" s="38"/>
      <c r="BH497" s="38"/>
      <c r="BI497" s="38"/>
      <c r="BJ497" s="38"/>
      <c r="BK497" s="38"/>
      <c r="BL497" s="38"/>
      <c r="BM497" s="38"/>
      <c r="BN497" s="38"/>
      <c r="BO497" s="38"/>
      <c r="BP497" s="38"/>
      <c r="BQ497" s="38"/>
      <c r="BR497" s="38"/>
    </row>
    <row r="498" spans="1:70">
      <c r="A498" s="38"/>
      <c r="B498" s="38"/>
      <c r="C498" s="43"/>
      <c r="D498" s="38"/>
      <c r="E498" s="38"/>
      <c r="F498" s="43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8"/>
      <c r="AJ498" s="38"/>
      <c r="AK498" s="38"/>
      <c r="AL498" s="38"/>
      <c r="AM498" s="38"/>
      <c r="AN498" s="38"/>
      <c r="AO498" s="38"/>
      <c r="AP498" s="38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  <c r="BA498" s="38"/>
      <c r="BB498" s="38"/>
      <c r="BC498" s="38"/>
      <c r="BD498" s="38"/>
      <c r="BE498" s="38"/>
      <c r="BF498" s="38"/>
      <c r="BG498" s="38"/>
      <c r="BH498" s="38"/>
      <c r="BI498" s="38"/>
      <c r="BJ498" s="38"/>
      <c r="BK498" s="38"/>
      <c r="BL498" s="38"/>
      <c r="BM498" s="38"/>
      <c r="BN498" s="38"/>
      <c r="BO498" s="38"/>
      <c r="BP498" s="38"/>
      <c r="BQ498" s="38"/>
      <c r="BR498" s="38"/>
    </row>
    <row r="499" spans="1:70">
      <c r="A499" s="38"/>
      <c r="B499" s="38"/>
      <c r="C499" s="43"/>
      <c r="D499" s="38"/>
      <c r="E499" s="38"/>
      <c r="F499" s="43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8"/>
      <c r="AJ499" s="38"/>
      <c r="AK499" s="38"/>
      <c r="AL499" s="38"/>
      <c r="AM499" s="38"/>
      <c r="AN499" s="38"/>
      <c r="AO499" s="38"/>
      <c r="AP499" s="38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  <c r="BA499" s="38"/>
      <c r="BB499" s="38"/>
      <c r="BC499" s="38"/>
      <c r="BD499" s="38"/>
      <c r="BE499" s="38"/>
      <c r="BF499" s="38"/>
      <c r="BG499" s="38"/>
      <c r="BH499" s="38"/>
      <c r="BI499" s="38"/>
      <c r="BJ499" s="38"/>
      <c r="BK499" s="38"/>
      <c r="BL499" s="38"/>
      <c r="BM499" s="38"/>
      <c r="BN499" s="38"/>
      <c r="BO499" s="38"/>
      <c r="BP499" s="38"/>
      <c r="BQ499" s="38"/>
      <c r="BR499" s="38"/>
    </row>
    <row r="500" spans="1:70">
      <c r="A500" s="38"/>
      <c r="B500" s="38"/>
      <c r="C500" s="43"/>
      <c r="D500" s="38"/>
      <c r="E500" s="38"/>
      <c r="F500" s="43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8"/>
      <c r="AJ500" s="38"/>
      <c r="AK500" s="38"/>
      <c r="AL500" s="38"/>
      <c r="AM500" s="38"/>
      <c r="AN500" s="38"/>
      <c r="AO500" s="38"/>
      <c r="AP500" s="38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  <c r="BA500" s="38"/>
      <c r="BB500" s="38"/>
      <c r="BC500" s="38"/>
      <c r="BD500" s="38"/>
      <c r="BE500" s="38"/>
      <c r="BF500" s="38"/>
      <c r="BG500" s="38"/>
      <c r="BH500" s="38"/>
      <c r="BI500" s="38"/>
      <c r="BJ500" s="38"/>
      <c r="BK500" s="38"/>
      <c r="BL500" s="38"/>
      <c r="BM500" s="38"/>
      <c r="BN500" s="38"/>
      <c r="BO500" s="38"/>
      <c r="BP500" s="38"/>
      <c r="BQ500" s="38"/>
      <c r="BR500" s="38"/>
    </row>
    <row r="501" spans="1:70">
      <c r="A501" s="38"/>
      <c r="B501" s="38"/>
      <c r="C501" s="43"/>
      <c r="D501" s="38"/>
      <c r="E501" s="38"/>
      <c r="F501" s="43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8"/>
      <c r="AJ501" s="38"/>
      <c r="AK501" s="38"/>
      <c r="AL501" s="38"/>
      <c r="AM501" s="38"/>
      <c r="AN501" s="38"/>
      <c r="AO501" s="38"/>
      <c r="AP501" s="38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  <c r="BA501" s="38"/>
      <c r="BB501" s="38"/>
      <c r="BC501" s="38"/>
      <c r="BD501" s="38"/>
      <c r="BE501" s="38"/>
      <c r="BF501" s="38"/>
      <c r="BG501" s="38"/>
      <c r="BH501" s="38"/>
      <c r="BI501" s="38"/>
      <c r="BJ501" s="38"/>
      <c r="BK501" s="38"/>
      <c r="BL501" s="38"/>
      <c r="BM501" s="38"/>
      <c r="BN501" s="38"/>
      <c r="BO501" s="38"/>
      <c r="BP501" s="38"/>
      <c r="BQ501" s="38"/>
      <c r="BR501" s="38"/>
    </row>
    <row r="502" spans="1:70">
      <c r="A502" s="38"/>
      <c r="B502" s="38"/>
      <c r="C502" s="43"/>
      <c r="D502" s="38"/>
      <c r="E502" s="38"/>
      <c r="F502" s="43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8"/>
      <c r="AJ502" s="38"/>
      <c r="AK502" s="38"/>
      <c r="AL502" s="38"/>
      <c r="AM502" s="38"/>
      <c r="AN502" s="38"/>
      <c r="AO502" s="38"/>
      <c r="AP502" s="38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  <c r="BA502" s="38"/>
      <c r="BB502" s="38"/>
      <c r="BC502" s="38"/>
      <c r="BD502" s="38"/>
      <c r="BE502" s="38"/>
      <c r="BF502" s="38"/>
      <c r="BG502" s="38"/>
      <c r="BH502" s="38"/>
      <c r="BI502" s="38"/>
      <c r="BJ502" s="38"/>
      <c r="BK502" s="38"/>
      <c r="BL502" s="38"/>
      <c r="BM502" s="38"/>
      <c r="BN502" s="38"/>
      <c r="BO502" s="38"/>
      <c r="BP502" s="38"/>
      <c r="BQ502" s="38"/>
      <c r="BR502" s="38"/>
    </row>
    <row r="503" spans="1:70">
      <c r="A503" s="38"/>
      <c r="B503" s="38"/>
      <c r="C503" s="43"/>
      <c r="D503" s="38"/>
      <c r="E503" s="38"/>
      <c r="F503" s="43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8"/>
      <c r="AJ503" s="38"/>
      <c r="AK503" s="38"/>
      <c r="AL503" s="38"/>
      <c r="AM503" s="38"/>
      <c r="AN503" s="38"/>
      <c r="AO503" s="38"/>
      <c r="AP503" s="38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  <c r="BA503" s="38"/>
      <c r="BB503" s="38"/>
      <c r="BC503" s="38"/>
      <c r="BD503" s="38"/>
      <c r="BE503" s="38"/>
      <c r="BF503" s="38"/>
      <c r="BG503" s="38"/>
      <c r="BH503" s="38"/>
      <c r="BI503" s="38"/>
      <c r="BJ503" s="38"/>
      <c r="BK503" s="38"/>
      <c r="BL503" s="38"/>
      <c r="BM503" s="38"/>
      <c r="BN503" s="38"/>
      <c r="BO503" s="38"/>
      <c r="BP503" s="38"/>
      <c r="BQ503" s="38"/>
      <c r="BR503" s="38"/>
    </row>
    <row r="504" spans="1:70">
      <c r="A504" s="38"/>
      <c r="B504" s="38"/>
      <c r="C504" s="43"/>
      <c r="D504" s="38"/>
      <c r="E504" s="38"/>
      <c r="F504" s="43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8"/>
      <c r="AJ504" s="38"/>
      <c r="AK504" s="38"/>
      <c r="AL504" s="38"/>
      <c r="AM504" s="38"/>
      <c r="AN504" s="38"/>
      <c r="AO504" s="38"/>
      <c r="AP504" s="38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  <c r="BA504" s="38"/>
      <c r="BB504" s="38"/>
      <c r="BC504" s="38"/>
      <c r="BD504" s="38"/>
      <c r="BE504" s="38"/>
      <c r="BF504" s="38"/>
      <c r="BG504" s="38"/>
      <c r="BH504" s="38"/>
      <c r="BI504" s="38"/>
      <c r="BJ504" s="38"/>
      <c r="BK504" s="38"/>
      <c r="BL504" s="38"/>
      <c r="BM504" s="38"/>
      <c r="BN504" s="38"/>
      <c r="BO504" s="38"/>
      <c r="BP504" s="38"/>
      <c r="BQ504" s="38"/>
      <c r="BR504" s="38"/>
    </row>
    <row r="505" spans="1:70">
      <c r="A505" s="38"/>
      <c r="B505" s="38"/>
      <c r="C505" s="43"/>
      <c r="D505" s="38"/>
      <c r="E505" s="38"/>
      <c r="F505" s="43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8"/>
      <c r="AJ505" s="38"/>
      <c r="AK505" s="38"/>
      <c r="AL505" s="38"/>
      <c r="AM505" s="38"/>
      <c r="AN505" s="38"/>
      <c r="AO505" s="38"/>
      <c r="AP505" s="38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  <c r="BA505" s="38"/>
      <c r="BB505" s="38"/>
      <c r="BC505" s="38"/>
      <c r="BD505" s="38"/>
      <c r="BE505" s="38"/>
      <c r="BF505" s="38"/>
      <c r="BG505" s="38"/>
      <c r="BH505" s="38"/>
      <c r="BI505" s="38"/>
      <c r="BJ505" s="38"/>
      <c r="BK505" s="38"/>
      <c r="BL505" s="38"/>
      <c r="BM505" s="38"/>
      <c r="BN505" s="38"/>
      <c r="BO505" s="38"/>
      <c r="BP505" s="38"/>
      <c r="BQ505" s="38"/>
      <c r="BR505" s="38"/>
    </row>
    <row r="506" spans="1:70">
      <c r="A506" s="38"/>
      <c r="B506" s="38"/>
      <c r="C506" s="43"/>
      <c r="D506" s="38"/>
      <c r="E506" s="38"/>
      <c r="F506" s="43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8"/>
      <c r="AJ506" s="38"/>
      <c r="AK506" s="38"/>
      <c r="AL506" s="38"/>
      <c r="AM506" s="38"/>
      <c r="AN506" s="38"/>
      <c r="AO506" s="38"/>
      <c r="AP506" s="38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  <c r="BA506" s="38"/>
      <c r="BB506" s="38"/>
      <c r="BC506" s="38"/>
      <c r="BD506" s="38"/>
      <c r="BE506" s="38"/>
      <c r="BF506" s="38"/>
      <c r="BG506" s="38"/>
      <c r="BH506" s="38"/>
      <c r="BI506" s="38"/>
      <c r="BJ506" s="38"/>
      <c r="BK506" s="38"/>
      <c r="BL506" s="38"/>
      <c r="BM506" s="38"/>
      <c r="BN506" s="38"/>
      <c r="BO506" s="38"/>
      <c r="BP506" s="38"/>
      <c r="BQ506" s="38"/>
      <c r="BR506" s="38"/>
    </row>
    <row r="507" spans="1:70">
      <c r="A507" s="38"/>
      <c r="B507" s="38"/>
      <c r="C507" s="43"/>
      <c r="D507" s="38"/>
      <c r="E507" s="38"/>
      <c r="F507" s="43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8"/>
      <c r="AJ507" s="38"/>
      <c r="AK507" s="38"/>
      <c r="AL507" s="38"/>
      <c r="AM507" s="38"/>
      <c r="AN507" s="38"/>
      <c r="AO507" s="38"/>
      <c r="AP507" s="38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  <c r="BA507" s="38"/>
      <c r="BB507" s="38"/>
      <c r="BC507" s="38"/>
      <c r="BD507" s="38"/>
      <c r="BE507" s="38"/>
      <c r="BF507" s="38"/>
      <c r="BG507" s="38"/>
      <c r="BH507" s="38"/>
      <c r="BI507" s="38"/>
      <c r="BJ507" s="38"/>
      <c r="BK507" s="38"/>
      <c r="BL507" s="38"/>
      <c r="BM507" s="38"/>
      <c r="BN507" s="38"/>
      <c r="BO507" s="38"/>
      <c r="BP507" s="38"/>
      <c r="BQ507" s="38"/>
      <c r="BR507" s="38"/>
    </row>
    <row r="508" spans="1:70">
      <c r="A508" s="38"/>
      <c r="B508" s="38"/>
      <c r="C508" s="43"/>
      <c r="D508" s="38"/>
      <c r="E508" s="38"/>
      <c r="F508" s="43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  <c r="AL508" s="38"/>
      <c r="AM508" s="38"/>
      <c r="AN508" s="38"/>
      <c r="AO508" s="38"/>
      <c r="AP508" s="38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  <c r="BA508" s="38"/>
      <c r="BB508" s="38"/>
      <c r="BC508" s="38"/>
      <c r="BD508" s="38"/>
      <c r="BE508" s="38"/>
      <c r="BF508" s="38"/>
      <c r="BG508" s="38"/>
      <c r="BH508" s="38"/>
      <c r="BI508" s="38"/>
      <c r="BJ508" s="38"/>
      <c r="BK508" s="38"/>
      <c r="BL508" s="38"/>
      <c r="BM508" s="38"/>
      <c r="BN508" s="38"/>
      <c r="BO508" s="38"/>
      <c r="BP508" s="38"/>
      <c r="BQ508" s="38"/>
      <c r="BR508" s="38"/>
    </row>
    <row r="509" spans="1:70">
      <c r="A509" s="38"/>
      <c r="B509" s="38"/>
      <c r="C509" s="43"/>
      <c r="D509" s="38"/>
      <c r="E509" s="38"/>
      <c r="F509" s="43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8"/>
      <c r="AJ509" s="38"/>
      <c r="AK509" s="38"/>
      <c r="AL509" s="38"/>
      <c r="AM509" s="38"/>
      <c r="AN509" s="38"/>
      <c r="AO509" s="38"/>
      <c r="AP509" s="38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  <c r="BA509" s="38"/>
      <c r="BB509" s="38"/>
      <c r="BC509" s="38"/>
      <c r="BD509" s="38"/>
      <c r="BE509" s="38"/>
      <c r="BF509" s="38"/>
      <c r="BG509" s="38"/>
      <c r="BH509" s="38"/>
      <c r="BI509" s="38"/>
      <c r="BJ509" s="38"/>
      <c r="BK509" s="38"/>
      <c r="BL509" s="38"/>
      <c r="BM509" s="38"/>
      <c r="BN509" s="38"/>
      <c r="BO509" s="38"/>
      <c r="BP509" s="38"/>
      <c r="BQ509" s="38"/>
      <c r="BR509" s="38"/>
    </row>
    <row r="510" spans="1:70">
      <c r="A510" s="38"/>
      <c r="B510" s="38"/>
      <c r="C510" s="43"/>
      <c r="D510" s="38"/>
      <c r="E510" s="38"/>
      <c r="F510" s="43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8"/>
      <c r="AJ510" s="38"/>
      <c r="AK510" s="38"/>
      <c r="AL510" s="38"/>
      <c r="AM510" s="38"/>
      <c r="AN510" s="38"/>
      <c r="AO510" s="38"/>
      <c r="AP510" s="38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  <c r="BA510" s="38"/>
      <c r="BB510" s="38"/>
      <c r="BC510" s="38"/>
      <c r="BD510" s="38"/>
      <c r="BE510" s="38"/>
      <c r="BF510" s="38"/>
      <c r="BG510" s="38"/>
      <c r="BH510" s="38"/>
      <c r="BI510" s="38"/>
      <c r="BJ510" s="38"/>
      <c r="BK510" s="38"/>
      <c r="BL510" s="38"/>
      <c r="BM510" s="38"/>
      <c r="BN510" s="38"/>
      <c r="BO510" s="38"/>
      <c r="BP510" s="38"/>
      <c r="BQ510" s="38"/>
      <c r="BR510" s="38"/>
    </row>
    <row r="511" spans="1:70">
      <c r="A511" s="38"/>
      <c r="B511" s="38"/>
      <c r="C511" s="43"/>
      <c r="D511" s="38"/>
      <c r="E511" s="38"/>
      <c r="F511" s="43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8"/>
      <c r="AJ511" s="38"/>
      <c r="AK511" s="38"/>
      <c r="AL511" s="38"/>
      <c r="AM511" s="38"/>
      <c r="AN511" s="38"/>
      <c r="AO511" s="38"/>
      <c r="AP511" s="38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  <c r="BA511" s="38"/>
      <c r="BB511" s="38"/>
      <c r="BC511" s="38"/>
      <c r="BD511" s="38"/>
      <c r="BE511" s="38"/>
      <c r="BF511" s="38"/>
      <c r="BG511" s="38"/>
      <c r="BH511" s="38"/>
      <c r="BI511" s="38"/>
      <c r="BJ511" s="38"/>
      <c r="BK511" s="38"/>
      <c r="BL511" s="38"/>
      <c r="BM511" s="38"/>
      <c r="BN511" s="38"/>
      <c r="BO511" s="38"/>
      <c r="BP511" s="38"/>
      <c r="BQ511" s="38"/>
      <c r="BR511" s="38"/>
    </row>
    <row r="512" spans="1:70">
      <c r="A512" s="38"/>
      <c r="B512" s="38"/>
      <c r="C512" s="43"/>
      <c r="D512" s="38"/>
      <c r="E512" s="38"/>
      <c r="F512" s="43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8"/>
      <c r="AJ512" s="38"/>
      <c r="AK512" s="38"/>
      <c r="AL512" s="38"/>
      <c r="AM512" s="38"/>
      <c r="AN512" s="38"/>
      <c r="AO512" s="38"/>
      <c r="AP512" s="38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  <c r="BA512" s="38"/>
      <c r="BB512" s="38"/>
      <c r="BC512" s="38"/>
      <c r="BD512" s="38"/>
      <c r="BE512" s="38"/>
      <c r="BF512" s="38"/>
      <c r="BG512" s="38"/>
      <c r="BH512" s="38"/>
      <c r="BI512" s="38"/>
      <c r="BJ512" s="38"/>
      <c r="BK512" s="38"/>
      <c r="BL512" s="38"/>
      <c r="BM512" s="38"/>
      <c r="BN512" s="38"/>
      <c r="BO512" s="38"/>
      <c r="BP512" s="38"/>
      <c r="BQ512" s="38"/>
      <c r="BR512" s="38"/>
    </row>
    <row r="513" spans="1:70">
      <c r="A513" s="38"/>
      <c r="B513" s="38"/>
      <c r="C513" s="43"/>
      <c r="D513" s="38"/>
      <c r="E513" s="38"/>
      <c r="F513" s="43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8"/>
      <c r="AJ513" s="38"/>
      <c r="AK513" s="38"/>
      <c r="AL513" s="38"/>
      <c r="AM513" s="38"/>
      <c r="AN513" s="38"/>
      <c r="AO513" s="38"/>
      <c r="AP513" s="38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  <c r="BA513" s="38"/>
      <c r="BB513" s="38"/>
      <c r="BC513" s="38"/>
      <c r="BD513" s="38"/>
      <c r="BE513" s="38"/>
      <c r="BF513" s="38"/>
      <c r="BG513" s="38"/>
      <c r="BH513" s="38"/>
      <c r="BI513" s="38"/>
      <c r="BJ513" s="38"/>
      <c r="BK513" s="38"/>
      <c r="BL513" s="38"/>
      <c r="BM513" s="38"/>
      <c r="BN513" s="38"/>
      <c r="BO513" s="38"/>
      <c r="BP513" s="38"/>
      <c r="BQ513" s="38"/>
      <c r="BR513" s="38"/>
    </row>
    <row r="514" spans="1:70">
      <c r="A514" s="38"/>
      <c r="B514" s="38"/>
      <c r="C514" s="43"/>
      <c r="D514" s="38"/>
      <c r="E514" s="38"/>
      <c r="F514" s="43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8"/>
      <c r="AJ514" s="38"/>
      <c r="AK514" s="38"/>
      <c r="AL514" s="38"/>
      <c r="AM514" s="38"/>
      <c r="AN514" s="38"/>
      <c r="AO514" s="38"/>
      <c r="AP514" s="38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  <c r="BA514" s="38"/>
      <c r="BB514" s="38"/>
      <c r="BC514" s="38"/>
      <c r="BD514" s="38"/>
      <c r="BE514" s="38"/>
      <c r="BF514" s="38"/>
      <c r="BG514" s="38"/>
      <c r="BH514" s="38"/>
      <c r="BI514" s="38"/>
      <c r="BJ514" s="38"/>
      <c r="BK514" s="38"/>
      <c r="BL514" s="38"/>
      <c r="BM514" s="38"/>
      <c r="BN514" s="38"/>
      <c r="BO514" s="38"/>
      <c r="BP514" s="38"/>
      <c r="BQ514" s="38"/>
      <c r="BR514" s="38"/>
    </row>
    <row r="515" spans="1:70">
      <c r="A515" s="38"/>
      <c r="B515" s="38"/>
      <c r="C515" s="43"/>
      <c r="D515" s="38"/>
      <c r="E515" s="38"/>
      <c r="F515" s="43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8"/>
      <c r="AJ515" s="38"/>
      <c r="AK515" s="38"/>
      <c r="AL515" s="38"/>
      <c r="AM515" s="38"/>
      <c r="AN515" s="38"/>
      <c r="AO515" s="38"/>
      <c r="AP515" s="38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  <c r="BA515" s="38"/>
      <c r="BB515" s="38"/>
      <c r="BC515" s="38"/>
      <c r="BD515" s="38"/>
      <c r="BE515" s="38"/>
      <c r="BF515" s="38"/>
      <c r="BG515" s="38"/>
      <c r="BH515" s="38"/>
      <c r="BI515" s="38"/>
      <c r="BJ515" s="38"/>
      <c r="BK515" s="38"/>
      <c r="BL515" s="38"/>
      <c r="BM515" s="38"/>
      <c r="BN515" s="38"/>
      <c r="BO515" s="38"/>
      <c r="BP515" s="38"/>
      <c r="BQ515" s="38"/>
      <c r="BR515" s="38"/>
    </row>
    <row r="516" spans="1:70">
      <c r="A516" s="38"/>
      <c r="B516" s="38"/>
      <c r="C516" s="43"/>
      <c r="D516" s="38"/>
      <c r="E516" s="38"/>
      <c r="F516" s="43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8"/>
      <c r="AJ516" s="38"/>
      <c r="AK516" s="38"/>
      <c r="AL516" s="38"/>
      <c r="AM516" s="38"/>
      <c r="AN516" s="38"/>
      <c r="AO516" s="38"/>
      <c r="AP516" s="38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  <c r="BA516" s="38"/>
      <c r="BB516" s="38"/>
      <c r="BC516" s="38"/>
      <c r="BD516" s="38"/>
      <c r="BE516" s="38"/>
      <c r="BF516" s="38"/>
      <c r="BG516" s="38"/>
      <c r="BH516" s="38"/>
      <c r="BI516" s="38"/>
      <c r="BJ516" s="38"/>
      <c r="BK516" s="38"/>
      <c r="BL516" s="38"/>
      <c r="BM516" s="38"/>
      <c r="BN516" s="38"/>
      <c r="BO516" s="38"/>
      <c r="BP516" s="38"/>
      <c r="BQ516" s="38"/>
      <c r="BR516" s="38"/>
    </row>
    <row r="517" spans="1:70">
      <c r="A517" s="38"/>
      <c r="B517" s="38"/>
      <c r="C517" s="43"/>
      <c r="D517" s="38"/>
      <c r="E517" s="38"/>
      <c r="F517" s="43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8"/>
      <c r="AJ517" s="38"/>
      <c r="AK517" s="38"/>
      <c r="AL517" s="38"/>
      <c r="AM517" s="38"/>
      <c r="AN517" s="38"/>
      <c r="AO517" s="38"/>
      <c r="AP517" s="38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  <c r="BA517" s="38"/>
      <c r="BB517" s="38"/>
      <c r="BC517" s="38"/>
      <c r="BD517" s="38"/>
      <c r="BE517" s="38"/>
      <c r="BF517" s="38"/>
      <c r="BG517" s="38"/>
      <c r="BH517" s="38"/>
      <c r="BI517" s="38"/>
      <c r="BJ517" s="38"/>
      <c r="BK517" s="38"/>
      <c r="BL517" s="38"/>
      <c r="BM517" s="38"/>
      <c r="BN517" s="38"/>
      <c r="BO517" s="38"/>
      <c r="BP517" s="38"/>
      <c r="BQ517" s="38"/>
      <c r="BR517" s="38"/>
    </row>
    <row r="518" spans="1:70">
      <c r="A518" s="38"/>
      <c r="B518" s="38"/>
      <c r="C518" s="43"/>
      <c r="D518" s="38"/>
      <c r="E518" s="38"/>
      <c r="F518" s="43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8"/>
      <c r="AJ518" s="38"/>
      <c r="AK518" s="38"/>
      <c r="AL518" s="38"/>
      <c r="AM518" s="38"/>
      <c r="AN518" s="38"/>
      <c r="AO518" s="38"/>
      <c r="AP518" s="38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  <c r="BA518" s="38"/>
      <c r="BB518" s="38"/>
      <c r="BC518" s="38"/>
      <c r="BD518" s="38"/>
      <c r="BE518" s="38"/>
      <c r="BF518" s="38"/>
      <c r="BG518" s="38"/>
      <c r="BH518" s="38"/>
      <c r="BI518" s="38"/>
      <c r="BJ518" s="38"/>
      <c r="BK518" s="38"/>
      <c r="BL518" s="38"/>
      <c r="BM518" s="38"/>
      <c r="BN518" s="38"/>
      <c r="BO518" s="38"/>
      <c r="BP518" s="38"/>
      <c r="BQ518" s="38"/>
      <c r="BR518" s="38"/>
    </row>
    <row r="519" spans="1:70">
      <c r="A519" s="38"/>
      <c r="B519" s="38"/>
      <c r="C519" s="43"/>
      <c r="D519" s="38"/>
      <c r="E519" s="38"/>
      <c r="F519" s="43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8"/>
      <c r="AJ519" s="38"/>
      <c r="AK519" s="38"/>
      <c r="AL519" s="38"/>
      <c r="AM519" s="38"/>
      <c r="AN519" s="38"/>
      <c r="AO519" s="38"/>
      <c r="AP519" s="38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  <c r="BA519" s="38"/>
      <c r="BB519" s="38"/>
      <c r="BC519" s="38"/>
      <c r="BD519" s="38"/>
      <c r="BE519" s="38"/>
      <c r="BF519" s="38"/>
      <c r="BG519" s="38"/>
      <c r="BH519" s="38"/>
      <c r="BI519" s="38"/>
      <c r="BJ519" s="38"/>
      <c r="BK519" s="38"/>
      <c r="BL519" s="38"/>
      <c r="BM519" s="38"/>
      <c r="BN519" s="38"/>
      <c r="BO519" s="38"/>
      <c r="BP519" s="38"/>
      <c r="BQ519" s="38"/>
      <c r="BR519" s="38"/>
    </row>
    <row r="520" spans="1:70">
      <c r="A520" s="38"/>
      <c r="B520" s="38"/>
      <c r="C520" s="43"/>
      <c r="D520" s="38"/>
      <c r="E520" s="38"/>
      <c r="F520" s="43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8"/>
      <c r="AJ520" s="38"/>
      <c r="AK520" s="38"/>
      <c r="AL520" s="38"/>
      <c r="AM520" s="38"/>
      <c r="AN520" s="38"/>
      <c r="AO520" s="38"/>
      <c r="AP520" s="38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  <c r="BA520" s="38"/>
      <c r="BB520" s="38"/>
      <c r="BC520" s="38"/>
      <c r="BD520" s="38"/>
      <c r="BE520" s="38"/>
      <c r="BF520" s="38"/>
      <c r="BG520" s="38"/>
      <c r="BH520" s="38"/>
      <c r="BI520" s="38"/>
      <c r="BJ520" s="38"/>
      <c r="BK520" s="38"/>
      <c r="BL520" s="38"/>
      <c r="BM520" s="38"/>
      <c r="BN520" s="38"/>
      <c r="BO520" s="38"/>
      <c r="BP520" s="38"/>
      <c r="BQ520" s="38"/>
      <c r="BR520" s="38"/>
    </row>
    <row r="521" spans="1:70">
      <c r="A521" s="38"/>
      <c r="B521" s="38"/>
      <c r="C521" s="43"/>
      <c r="D521" s="38"/>
      <c r="E521" s="38"/>
      <c r="F521" s="43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8"/>
      <c r="AJ521" s="38"/>
      <c r="AK521" s="38"/>
      <c r="AL521" s="38"/>
      <c r="AM521" s="38"/>
      <c r="AN521" s="38"/>
      <c r="AO521" s="38"/>
      <c r="AP521" s="38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  <c r="BA521" s="38"/>
      <c r="BB521" s="38"/>
      <c r="BC521" s="38"/>
      <c r="BD521" s="38"/>
      <c r="BE521" s="38"/>
      <c r="BF521" s="38"/>
      <c r="BG521" s="38"/>
      <c r="BH521" s="38"/>
      <c r="BI521" s="38"/>
      <c r="BJ521" s="38"/>
      <c r="BK521" s="38"/>
      <c r="BL521" s="38"/>
      <c r="BM521" s="38"/>
      <c r="BN521" s="38"/>
      <c r="BO521" s="38"/>
      <c r="BP521" s="38"/>
      <c r="BQ521" s="38"/>
      <c r="BR521" s="38"/>
    </row>
    <row r="522" spans="1:70">
      <c r="A522" s="38"/>
      <c r="B522" s="38"/>
      <c r="C522" s="43"/>
      <c r="D522" s="38"/>
      <c r="E522" s="38"/>
      <c r="F522" s="43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8"/>
      <c r="AJ522" s="38"/>
      <c r="AK522" s="38"/>
      <c r="AL522" s="38"/>
      <c r="AM522" s="38"/>
      <c r="AN522" s="38"/>
      <c r="AO522" s="38"/>
      <c r="AP522" s="38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  <c r="BA522" s="38"/>
      <c r="BB522" s="38"/>
      <c r="BC522" s="38"/>
      <c r="BD522" s="38"/>
      <c r="BE522" s="38"/>
      <c r="BF522" s="38"/>
      <c r="BG522" s="38"/>
      <c r="BH522" s="38"/>
      <c r="BI522" s="38"/>
      <c r="BJ522" s="38"/>
      <c r="BK522" s="38"/>
      <c r="BL522" s="38"/>
      <c r="BM522" s="38"/>
      <c r="BN522" s="38"/>
      <c r="BO522" s="38"/>
      <c r="BP522" s="38"/>
      <c r="BQ522" s="38"/>
      <c r="BR522" s="38"/>
    </row>
    <row r="523" spans="1:70">
      <c r="A523" s="38"/>
      <c r="B523" s="38"/>
      <c r="C523" s="43"/>
      <c r="D523" s="38"/>
      <c r="E523" s="38"/>
      <c r="F523" s="43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8"/>
      <c r="AJ523" s="38"/>
      <c r="AK523" s="38"/>
      <c r="AL523" s="38"/>
      <c r="AM523" s="38"/>
      <c r="AN523" s="38"/>
      <c r="AO523" s="38"/>
      <c r="AP523" s="38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  <c r="BA523" s="38"/>
      <c r="BB523" s="38"/>
      <c r="BC523" s="38"/>
      <c r="BD523" s="38"/>
      <c r="BE523" s="38"/>
      <c r="BF523" s="38"/>
      <c r="BG523" s="38"/>
      <c r="BH523" s="38"/>
      <c r="BI523" s="38"/>
      <c r="BJ523" s="38"/>
      <c r="BK523" s="38"/>
      <c r="BL523" s="38"/>
      <c r="BM523" s="38"/>
      <c r="BN523" s="38"/>
      <c r="BO523" s="38"/>
      <c r="BP523" s="38"/>
      <c r="BQ523" s="38"/>
      <c r="BR523" s="38"/>
    </row>
    <row r="524" spans="1:70">
      <c r="A524" s="38"/>
      <c r="B524" s="38"/>
      <c r="C524" s="43"/>
      <c r="D524" s="38"/>
      <c r="E524" s="38"/>
      <c r="F524" s="43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8"/>
      <c r="AJ524" s="38"/>
      <c r="AK524" s="38"/>
      <c r="AL524" s="38"/>
      <c r="AM524" s="38"/>
      <c r="AN524" s="38"/>
      <c r="AO524" s="38"/>
      <c r="AP524" s="38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  <c r="BA524" s="38"/>
      <c r="BB524" s="38"/>
      <c r="BC524" s="38"/>
      <c r="BD524" s="38"/>
      <c r="BE524" s="38"/>
      <c r="BF524" s="38"/>
      <c r="BG524" s="38"/>
      <c r="BH524" s="38"/>
      <c r="BI524" s="38"/>
      <c r="BJ524" s="38"/>
      <c r="BK524" s="38"/>
      <c r="BL524" s="38"/>
      <c r="BM524" s="38"/>
      <c r="BN524" s="38"/>
      <c r="BO524" s="38"/>
      <c r="BP524" s="38"/>
      <c r="BQ524" s="38"/>
      <c r="BR524" s="38"/>
    </row>
    <row r="525" spans="1:70">
      <c r="A525" s="38"/>
      <c r="B525" s="38"/>
      <c r="C525" s="43"/>
      <c r="D525" s="38"/>
      <c r="E525" s="38"/>
      <c r="F525" s="43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8"/>
      <c r="AJ525" s="38"/>
      <c r="AK525" s="38"/>
      <c r="AL525" s="38"/>
      <c r="AM525" s="38"/>
      <c r="AN525" s="38"/>
      <c r="AO525" s="38"/>
      <c r="AP525" s="38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  <c r="BA525" s="38"/>
      <c r="BB525" s="38"/>
      <c r="BC525" s="38"/>
      <c r="BD525" s="38"/>
      <c r="BE525" s="38"/>
      <c r="BF525" s="38"/>
      <c r="BG525" s="38"/>
      <c r="BH525" s="38"/>
      <c r="BI525" s="38"/>
      <c r="BJ525" s="38"/>
      <c r="BK525" s="38"/>
      <c r="BL525" s="38"/>
      <c r="BM525" s="38"/>
      <c r="BN525" s="38"/>
      <c r="BO525" s="38"/>
      <c r="BP525" s="38"/>
      <c r="BQ525" s="38"/>
      <c r="BR525" s="38"/>
    </row>
    <row r="526" spans="1:70">
      <c r="A526" s="38"/>
      <c r="B526" s="38"/>
      <c r="C526" s="43"/>
      <c r="D526" s="38"/>
      <c r="E526" s="38"/>
      <c r="F526" s="43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8"/>
      <c r="AJ526" s="38"/>
      <c r="AK526" s="38"/>
      <c r="AL526" s="38"/>
      <c r="AM526" s="38"/>
      <c r="AN526" s="38"/>
      <c r="AO526" s="38"/>
      <c r="AP526" s="38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  <c r="BA526" s="38"/>
      <c r="BB526" s="38"/>
      <c r="BC526" s="38"/>
      <c r="BD526" s="38"/>
      <c r="BE526" s="38"/>
      <c r="BF526" s="38"/>
      <c r="BG526" s="38"/>
      <c r="BH526" s="38"/>
      <c r="BI526" s="38"/>
      <c r="BJ526" s="38"/>
      <c r="BK526" s="38"/>
      <c r="BL526" s="38"/>
      <c r="BM526" s="38"/>
      <c r="BN526" s="38"/>
      <c r="BO526" s="38"/>
      <c r="BP526" s="38"/>
      <c r="BQ526" s="38"/>
      <c r="BR526" s="38"/>
    </row>
    <row r="527" spans="1:70">
      <c r="A527" s="38"/>
      <c r="B527" s="38"/>
      <c r="C527" s="43"/>
      <c r="D527" s="38"/>
      <c r="E527" s="38"/>
      <c r="F527" s="43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8"/>
      <c r="AJ527" s="38"/>
      <c r="AK527" s="38"/>
      <c r="AL527" s="38"/>
      <c r="AM527" s="38"/>
      <c r="AN527" s="38"/>
      <c r="AO527" s="38"/>
      <c r="AP527" s="38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  <c r="BA527" s="38"/>
      <c r="BB527" s="38"/>
      <c r="BC527" s="38"/>
      <c r="BD527" s="38"/>
      <c r="BE527" s="38"/>
      <c r="BF527" s="38"/>
      <c r="BG527" s="38"/>
      <c r="BH527" s="38"/>
      <c r="BI527" s="38"/>
      <c r="BJ527" s="38"/>
      <c r="BK527" s="38"/>
      <c r="BL527" s="38"/>
      <c r="BM527" s="38"/>
      <c r="BN527" s="38"/>
      <c r="BO527" s="38"/>
      <c r="BP527" s="38"/>
      <c r="BQ527" s="38"/>
      <c r="BR527" s="38"/>
    </row>
    <row r="528" spans="1:70">
      <c r="A528" s="38"/>
      <c r="B528" s="38"/>
      <c r="C528" s="43"/>
      <c r="D528" s="38"/>
      <c r="E528" s="38"/>
      <c r="F528" s="43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8"/>
      <c r="AJ528" s="38"/>
      <c r="AK528" s="38"/>
      <c r="AL528" s="38"/>
      <c r="AM528" s="38"/>
      <c r="AN528" s="38"/>
      <c r="AO528" s="38"/>
      <c r="AP528" s="38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  <c r="BA528" s="38"/>
      <c r="BB528" s="38"/>
      <c r="BC528" s="38"/>
      <c r="BD528" s="38"/>
      <c r="BE528" s="38"/>
      <c r="BF528" s="38"/>
      <c r="BG528" s="38"/>
      <c r="BH528" s="38"/>
      <c r="BI528" s="38"/>
      <c r="BJ528" s="38"/>
      <c r="BK528" s="38"/>
      <c r="BL528" s="38"/>
      <c r="BM528" s="38"/>
      <c r="BN528" s="38"/>
      <c r="BO528" s="38"/>
      <c r="BP528" s="38"/>
      <c r="BQ528" s="38"/>
      <c r="BR528" s="38"/>
    </row>
    <row r="529" spans="1:70">
      <c r="A529" s="38"/>
      <c r="B529" s="38"/>
      <c r="C529" s="43"/>
      <c r="D529" s="38"/>
      <c r="E529" s="38"/>
      <c r="F529" s="43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8"/>
      <c r="AJ529" s="38"/>
      <c r="AK529" s="38"/>
      <c r="AL529" s="38"/>
      <c r="AM529" s="38"/>
      <c r="AN529" s="38"/>
      <c r="AO529" s="38"/>
      <c r="AP529" s="38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  <c r="BA529" s="38"/>
      <c r="BB529" s="38"/>
      <c r="BC529" s="38"/>
      <c r="BD529" s="38"/>
      <c r="BE529" s="38"/>
      <c r="BF529" s="38"/>
      <c r="BG529" s="38"/>
      <c r="BH529" s="38"/>
      <c r="BI529" s="38"/>
      <c r="BJ529" s="38"/>
      <c r="BK529" s="38"/>
      <c r="BL529" s="38"/>
      <c r="BM529" s="38"/>
      <c r="BN529" s="38"/>
      <c r="BO529" s="38"/>
      <c r="BP529" s="38"/>
      <c r="BQ529" s="38"/>
      <c r="BR529" s="38"/>
    </row>
    <row r="530" spans="1:70">
      <c r="A530" s="38"/>
      <c r="B530" s="38"/>
      <c r="C530" s="43"/>
      <c r="D530" s="38"/>
      <c r="E530" s="38"/>
      <c r="F530" s="43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8"/>
      <c r="AJ530" s="38"/>
      <c r="AK530" s="38"/>
      <c r="AL530" s="38"/>
      <c r="AM530" s="38"/>
      <c r="AN530" s="38"/>
      <c r="AO530" s="38"/>
      <c r="AP530" s="38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  <c r="BA530" s="38"/>
      <c r="BB530" s="38"/>
      <c r="BC530" s="38"/>
      <c r="BD530" s="38"/>
      <c r="BE530" s="38"/>
      <c r="BF530" s="38"/>
      <c r="BG530" s="38"/>
      <c r="BH530" s="38"/>
      <c r="BI530" s="38"/>
      <c r="BJ530" s="38"/>
      <c r="BK530" s="38"/>
      <c r="BL530" s="38"/>
      <c r="BM530" s="38"/>
      <c r="BN530" s="38"/>
      <c r="BO530" s="38"/>
      <c r="BP530" s="38"/>
      <c r="BQ530" s="38"/>
      <c r="BR530" s="38"/>
    </row>
    <row r="531" spans="1:70">
      <c r="A531" s="38"/>
      <c r="B531" s="38"/>
      <c r="C531" s="43"/>
      <c r="D531" s="38"/>
      <c r="E531" s="38"/>
      <c r="F531" s="43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8"/>
      <c r="AJ531" s="38"/>
      <c r="AK531" s="38"/>
      <c r="AL531" s="38"/>
      <c r="AM531" s="38"/>
      <c r="AN531" s="38"/>
      <c r="AO531" s="38"/>
      <c r="AP531" s="38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  <c r="BA531" s="38"/>
      <c r="BB531" s="38"/>
      <c r="BC531" s="38"/>
      <c r="BD531" s="38"/>
      <c r="BE531" s="38"/>
      <c r="BF531" s="38"/>
      <c r="BG531" s="38"/>
      <c r="BH531" s="38"/>
      <c r="BI531" s="38"/>
      <c r="BJ531" s="38"/>
      <c r="BK531" s="38"/>
      <c r="BL531" s="38"/>
      <c r="BM531" s="38"/>
      <c r="BN531" s="38"/>
      <c r="BO531" s="38"/>
      <c r="BP531" s="38"/>
      <c r="BQ531" s="38"/>
      <c r="BR531" s="38"/>
    </row>
    <row r="532" spans="1:70">
      <c r="A532" s="38"/>
      <c r="B532" s="38"/>
      <c r="C532" s="43"/>
      <c r="D532" s="38"/>
      <c r="E532" s="38"/>
      <c r="F532" s="43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8"/>
      <c r="AJ532" s="38"/>
      <c r="AK532" s="38"/>
      <c r="AL532" s="38"/>
      <c r="AM532" s="38"/>
      <c r="AN532" s="38"/>
      <c r="AO532" s="38"/>
      <c r="AP532" s="38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  <c r="BA532" s="38"/>
      <c r="BB532" s="38"/>
      <c r="BC532" s="38"/>
      <c r="BD532" s="38"/>
      <c r="BE532" s="38"/>
      <c r="BF532" s="38"/>
      <c r="BG532" s="38"/>
      <c r="BH532" s="38"/>
      <c r="BI532" s="38"/>
      <c r="BJ532" s="38"/>
      <c r="BK532" s="38"/>
      <c r="BL532" s="38"/>
      <c r="BM532" s="38"/>
      <c r="BN532" s="38"/>
      <c r="BO532" s="38"/>
      <c r="BP532" s="38"/>
      <c r="BQ532" s="38"/>
      <c r="BR532" s="38"/>
    </row>
    <row r="533" spans="1:70">
      <c r="A533" s="38"/>
      <c r="B533" s="38"/>
      <c r="C533" s="43"/>
      <c r="D533" s="38"/>
      <c r="E533" s="38"/>
      <c r="F533" s="43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8"/>
      <c r="AJ533" s="38"/>
      <c r="AK533" s="38"/>
      <c r="AL533" s="38"/>
      <c r="AM533" s="38"/>
      <c r="AN533" s="38"/>
      <c r="AO533" s="38"/>
      <c r="AP533" s="38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  <c r="BA533" s="38"/>
      <c r="BB533" s="38"/>
      <c r="BC533" s="38"/>
      <c r="BD533" s="38"/>
      <c r="BE533" s="38"/>
      <c r="BF533" s="38"/>
      <c r="BG533" s="38"/>
      <c r="BH533" s="38"/>
      <c r="BI533" s="38"/>
      <c r="BJ533" s="38"/>
      <c r="BK533" s="38"/>
      <c r="BL533" s="38"/>
      <c r="BM533" s="38"/>
      <c r="BN533" s="38"/>
      <c r="BO533" s="38"/>
      <c r="BP533" s="38"/>
      <c r="BQ533" s="38"/>
      <c r="BR533" s="38"/>
    </row>
    <row r="534" spans="1:70">
      <c r="A534" s="38"/>
      <c r="B534" s="38"/>
      <c r="C534" s="43"/>
      <c r="D534" s="38"/>
      <c r="E534" s="38"/>
      <c r="F534" s="43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8"/>
      <c r="AJ534" s="38"/>
      <c r="AK534" s="38"/>
      <c r="AL534" s="38"/>
      <c r="AM534" s="38"/>
      <c r="AN534" s="38"/>
      <c r="AO534" s="38"/>
      <c r="AP534" s="38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  <c r="BA534" s="38"/>
      <c r="BB534" s="38"/>
      <c r="BC534" s="38"/>
      <c r="BD534" s="38"/>
      <c r="BE534" s="38"/>
      <c r="BF534" s="38"/>
      <c r="BG534" s="38"/>
      <c r="BH534" s="38"/>
      <c r="BI534" s="38"/>
      <c r="BJ534" s="38"/>
      <c r="BK534" s="38"/>
      <c r="BL534" s="38"/>
      <c r="BM534" s="38"/>
      <c r="BN534" s="38"/>
      <c r="BO534" s="38"/>
      <c r="BP534" s="38"/>
      <c r="BQ534" s="38"/>
      <c r="BR534" s="38"/>
    </row>
    <row r="535" spans="1:70">
      <c r="A535" s="38"/>
      <c r="B535" s="38"/>
      <c r="C535" s="43"/>
      <c r="D535" s="38"/>
      <c r="E535" s="38"/>
      <c r="F535" s="43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8"/>
      <c r="AJ535" s="38"/>
      <c r="AK535" s="38"/>
      <c r="AL535" s="38"/>
      <c r="AM535" s="38"/>
      <c r="AN535" s="38"/>
      <c r="AO535" s="38"/>
      <c r="AP535" s="38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  <c r="BA535" s="38"/>
      <c r="BB535" s="38"/>
      <c r="BC535" s="38"/>
      <c r="BD535" s="38"/>
      <c r="BE535" s="38"/>
      <c r="BF535" s="38"/>
      <c r="BG535" s="38"/>
      <c r="BH535" s="38"/>
      <c r="BI535" s="38"/>
      <c r="BJ535" s="38"/>
      <c r="BK535" s="38"/>
      <c r="BL535" s="38"/>
      <c r="BM535" s="38"/>
      <c r="BN535" s="38"/>
      <c r="BO535" s="38"/>
      <c r="BP535" s="38"/>
      <c r="BQ535" s="38"/>
      <c r="BR535" s="38"/>
    </row>
    <row r="536" spans="1:70">
      <c r="A536" s="38"/>
      <c r="B536" s="38"/>
      <c r="C536" s="43"/>
      <c r="D536" s="38"/>
      <c r="E536" s="38"/>
      <c r="F536" s="43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8"/>
      <c r="AJ536" s="38"/>
      <c r="AK536" s="38"/>
      <c r="AL536" s="38"/>
      <c r="AM536" s="38"/>
      <c r="AN536" s="38"/>
      <c r="AO536" s="38"/>
      <c r="AP536" s="38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  <c r="BA536" s="38"/>
      <c r="BB536" s="38"/>
      <c r="BC536" s="38"/>
      <c r="BD536" s="38"/>
      <c r="BE536" s="38"/>
      <c r="BF536" s="38"/>
      <c r="BG536" s="38"/>
      <c r="BH536" s="38"/>
      <c r="BI536" s="38"/>
      <c r="BJ536" s="38"/>
      <c r="BK536" s="38"/>
      <c r="BL536" s="38"/>
      <c r="BM536" s="38"/>
      <c r="BN536" s="38"/>
      <c r="BO536" s="38"/>
      <c r="BP536" s="38"/>
      <c r="BQ536" s="38"/>
      <c r="BR536" s="38"/>
    </row>
    <row r="537" spans="1:70">
      <c r="A537" s="38"/>
      <c r="B537" s="38"/>
      <c r="C537" s="43"/>
      <c r="D537" s="38"/>
      <c r="E537" s="38"/>
      <c r="F537" s="43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8"/>
      <c r="AJ537" s="38"/>
      <c r="AK537" s="38"/>
      <c r="AL537" s="38"/>
      <c r="AM537" s="38"/>
      <c r="AN537" s="38"/>
      <c r="AO537" s="38"/>
      <c r="AP537" s="38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  <c r="BA537" s="38"/>
      <c r="BB537" s="38"/>
      <c r="BC537" s="38"/>
      <c r="BD537" s="38"/>
      <c r="BE537" s="38"/>
      <c r="BF537" s="38"/>
      <c r="BG537" s="38"/>
      <c r="BH537" s="38"/>
      <c r="BI537" s="38"/>
      <c r="BJ537" s="38"/>
      <c r="BK537" s="38"/>
      <c r="BL537" s="38"/>
      <c r="BM537" s="38"/>
      <c r="BN537" s="38"/>
      <c r="BO537" s="38"/>
      <c r="BP537" s="38"/>
      <c r="BQ537" s="38"/>
      <c r="BR537" s="38"/>
    </row>
    <row r="538" spans="1:70">
      <c r="A538" s="38"/>
      <c r="B538" s="38"/>
      <c r="C538" s="43"/>
      <c r="D538" s="38"/>
      <c r="E538" s="38"/>
      <c r="F538" s="43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8"/>
      <c r="AJ538" s="38"/>
      <c r="AK538" s="38"/>
      <c r="AL538" s="38"/>
      <c r="AM538" s="38"/>
      <c r="AN538" s="38"/>
      <c r="AO538" s="38"/>
      <c r="AP538" s="38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  <c r="BA538" s="38"/>
      <c r="BB538" s="38"/>
      <c r="BC538" s="38"/>
      <c r="BD538" s="38"/>
      <c r="BE538" s="38"/>
      <c r="BF538" s="38"/>
      <c r="BG538" s="38"/>
      <c r="BH538" s="38"/>
      <c r="BI538" s="38"/>
      <c r="BJ538" s="38"/>
      <c r="BK538" s="38"/>
      <c r="BL538" s="38"/>
      <c r="BM538" s="38"/>
      <c r="BN538" s="38"/>
      <c r="BO538" s="38"/>
      <c r="BP538" s="38"/>
      <c r="BQ538" s="38"/>
      <c r="BR538" s="38"/>
    </row>
    <row r="539" spans="1:70">
      <c r="A539" s="38"/>
      <c r="B539" s="38"/>
      <c r="C539" s="43"/>
      <c r="D539" s="38"/>
      <c r="E539" s="38"/>
      <c r="F539" s="43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8"/>
      <c r="AJ539" s="38"/>
      <c r="AK539" s="38"/>
      <c r="AL539" s="38"/>
      <c r="AM539" s="38"/>
      <c r="AN539" s="38"/>
      <c r="AO539" s="38"/>
      <c r="AP539" s="38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  <c r="BA539" s="38"/>
      <c r="BB539" s="38"/>
      <c r="BC539" s="38"/>
      <c r="BD539" s="38"/>
      <c r="BE539" s="38"/>
      <c r="BF539" s="38"/>
      <c r="BG539" s="38"/>
      <c r="BH539" s="38"/>
      <c r="BI539" s="38"/>
      <c r="BJ539" s="38"/>
      <c r="BK539" s="38"/>
      <c r="BL539" s="38"/>
      <c r="BM539" s="38"/>
      <c r="BN539" s="38"/>
      <c r="BO539" s="38"/>
      <c r="BP539" s="38"/>
      <c r="BQ539" s="38"/>
      <c r="BR539" s="38"/>
    </row>
    <row r="540" spans="1:70">
      <c r="A540" s="38"/>
      <c r="B540" s="38"/>
      <c r="C540" s="43"/>
      <c r="D540" s="38"/>
      <c r="E540" s="38"/>
      <c r="F540" s="43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8"/>
      <c r="AJ540" s="38"/>
      <c r="AK540" s="38"/>
      <c r="AL540" s="38"/>
      <c r="AM540" s="38"/>
      <c r="AN540" s="38"/>
      <c r="AO540" s="38"/>
      <c r="AP540" s="38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  <c r="BA540" s="38"/>
      <c r="BB540" s="38"/>
      <c r="BC540" s="38"/>
      <c r="BD540" s="38"/>
      <c r="BE540" s="38"/>
      <c r="BF540" s="38"/>
      <c r="BG540" s="38"/>
      <c r="BH540" s="38"/>
      <c r="BI540" s="38"/>
      <c r="BJ540" s="38"/>
      <c r="BK540" s="38"/>
      <c r="BL540" s="38"/>
      <c r="BM540" s="38"/>
      <c r="BN540" s="38"/>
      <c r="BO540" s="38"/>
      <c r="BP540" s="38"/>
      <c r="BQ540" s="38"/>
      <c r="BR540" s="38"/>
    </row>
    <row r="541" spans="1:70">
      <c r="A541" s="38"/>
      <c r="B541" s="38"/>
      <c r="C541" s="43"/>
      <c r="D541" s="38"/>
      <c r="E541" s="38"/>
      <c r="F541" s="43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8"/>
      <c r="AJ541" s="38"/>
      <c r="AK541" s="38"/>
      <c r="AL541" s="38"/>
      <c r="AM541" s="38"/>
      <c r="AN541" s="38"/>
      <c r="AO541" s="38"/>
      <c r="AP541" s="38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  <c r="BA541" s="38"/>
      <c r="BB541" s="38"/>
      <c r="BC541" s="38"/>
      <c r="BD541" s="38"/>
      <c r="BE541" s="38"/>
      <c r="BF541" s="38"/>
      <c r="BG541" s="38"/>
      <c r="BH541" s="38"/>
      <c r="BI541" s="38"/>
      <c r="BJ541" s="38"/>
      <c r="BK541" s="38"/>
      <c r="BL541" s="38"/>
      <c r="BM541" s="38"/>
      <c r="BN541" s="38"/>
      <c r="BO541" s="38"/>
      <c r="BP541" s="38"/>
      <c r="BQ541" s="38"/>
      <c r="BR541" s="38"/>
    </row>
    <row r="542" spans="1:70">
      <c r="A542" s="38"/>
      <c r="B542" s="38"/>
      <c r="C542" s="43"/>
      <c r="D542" s="38"/>
      <c r="E542" s="38"/>
      <c r="F542" s="43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8"/>
      <c r="AJ542" s="38"/>
      <c r="AK542" s="38"/>
      <c r="AL542" s="38"/>
      <c r="AM542" s="38"/>
      <c r="AN542" s="38"/>
      <c r="AO542" s="38"/>
      <c r="AP542" s="38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  <c r="BA542" s="38"/>
      <c r="BB542" s="38"/>
      <c r="BC542" s="38"/>
      <c r="BD542" s="38"/>
      <c r="BE542" s="38"/>
      <c r="BF542" s="38"/>
      <c r="BG542" s="38"/>
      <c r="BH542" s="38"/>
      <c r="BI542" s="38"/>
      <c r="BJ542" s="38"/>
      <c r="BK542" s="38"/>
      <c r="BL542" s="38"/>
      <c r="BM542" s="38"/>
      <c r="BN542" s="38"/>
      <c r="BO542" s="38"/>
      <c r="BP542" s="38"/>
      <c r="BQ542" s="38"/>
      <c r="BR542" s="38"/>
    </row>
    <row r="543" spans="1:70">
      <c r="A543" s="38"/>
      <c r="B543" s="38"/>
      <c r="C543" s="43"/>
      <c r="D543" s="38"/>
      <c r="E543" s="38"/>
      <c r="F543" s="43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8"/>
      <c r="AJ543" s="38"/>
      <c r="AK543" s="38"/>
      <c r="AL543" s="38"/>
      <c r="AM543" s="38"/>
      <c r="AN543" s="38"/>
      <c r="AO543" s="38"/>
      <c r="AP543" s="38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  <c r="BA543" s="38"/>
      <c r="BB543" s="38"/>
      <c r="BC543" s="38"/>
      <c r="BD543" s="38"/>
      <c r="BE543" s="38"/>
      <c r="BF543" s="38"/>
      <c r="BG543" s="38"/>
      <c r="BH543" s="38"/>
      <c r="BI543" s="38"/>
      <c r="BJ543" s="38"/>
      <c r="BK543" s="38"/>
      <c r="BL543" s="38"/>
      <c r="BM543" s="38"/>
      <c r="BN543" s="38"/>
      <c r="BO543" s="38"/>
      <c r="BP543" s="38"/>
      <c r="BQ543" s="38"/>
      <c r="BR543" s="38"/>
    </row>
    <row r="544" spans="1:70">
      <c r="A544" s="38"/>
      <c r="B544" s="38"/>
      <c r="C544" s="43"/>
      <c r="D544" s="38"/>
      <c r="E544" s="38"/>
      <c r="F544" s="43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8"/>
      <c r="AJ544" s="38"/>
      <c r="AK544" s="38"/>
      <c r="AL544" s="38"/>
      <c r="AM544" s="38"/>
      <c r="AN544" s="38"/>
      <c r="AO544" s="38"/>
      <c r="AP544" s="38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  <c r="BA544" s="38"/>
      <c r="BB544" s="38"/>
      <c r="BC544" s="38"/>
      <c r="BD544" s="38"/>
      <c r="BE544" s="38"/>
      <c r="BF544" s="38"/>
      <c r="BG544" s="38"/>
      <c r="BH544" s="38"/>
      <c r="BI544" s="38"/>
      <c r="BJ544" s="38"/>
      <c r="BK544" s="38"/>
      <c r="BL544" s="38"/>
      <c r="BM544" s="38"/>
      <c r="BN544" s="38"/>
      <c r="BO544" s="38"/>
      <c r="BP544" s="38"/>
      <c r="BQ544" s="38"/>
      <c r="BR544" s="38"/>
    </row>
    <row r="545" spans="1:70">
      <c r="A545" s="38"/>
      <c r="B545" s="38"/>
      <c r="C545" s="43"/>
      <c r="D545" s="38"/>
      <c r="E545" s="38"/>
      <c r="F545" s="43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8"/>
      <c r="AJ545" s="38"/>
      <c r="AK545" s="38"/>
      <c r="AL545" s="38"/>
      <c r="AM545" s="38"/>
      <c r="AN545" s="38"/>
      <c r="AO545" s="38"/>
      <c r="AP545" s="38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  <c r="BA545" s="38"/>
      <c r="BB545" s="38"/>
      <c r="BC545" s="38"/>
      <c r="BD545" s="38"/>
      <c r="BE545" s="38"/>
      <c r="BF545" s="38"/>
      <c r="BG545" s="38"/>
      <c r="BH545" s="38"/>
      <c r="BI545" s="38"/>
      <c r="BJ545" s="38"/>
      <c r="BK545" s="38"/>
      <c r="BL545" s="38"/>
      <c r="BM545" s="38"/>
      <c r="BN545" s="38"/>
      <c r="BO545" s="38"/>
      <c r="BP545" s="38"/>
      <c r="BQ545" s="38"/>
      <c r="BR545" s="38"/>
    </row>
    <row r="546" spans="1:70">
      <c r="A546" s="38"/>
      <c r="B546" s="38"/>
      <c r="C546" s="43"/>
      <c r="D546" s="38"/>
      <c r="E546" s="38"/>
      <c r="F546" s="43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8"/>
      <c r="AJ546" s="38"/>
      <c r="AK546" s="38"/>
      <c r="AL546" s="38"/>
      <c r="AM546" s="38"/>
      <c r="AN546" s="38"/>
      <c r="AO546" s="38"/>
      <c r="AP546" s="38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  <c r="BA546" s="38"/>
      <c r="BB546" s="38"/>
      <c r="BC546" s="38"/>
      <c r="BD546" s="38"/>
      <c r="BE546" s="38"/>
      <c r="BF546" s="38"/>
      <c r="BG546" s="38"/>
      <c r="BH546" s="38"/>
      <c r="BI546" s="38"/>
      <c r="BJ546" s="38"/>
      <c r="BK546" s="38"/>
      <c r="BL546" s="38"/>
      <c r="BM546" s="38"/>
      <c r="BN546" s="38"/>
      <c r="BO546" s="38"/>
      <c r="BP546" s="38"/>
      <c r="BQ546" s="38"/>
      <c r="BR546" s="38"/>
    </row>
    <row r="547" spans="1:70">
      <c r="A547" s="38"/>
      <c r="B547" s="38"/>
      <c r="C547" s="43"/>
      <c r="D547" s="38"/>
      <c r="E547" s="38"/>
      <c r="F547" s="43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8"/>
      <c r="AJ547" s="38"/>
      <c r="AK547" s="38"/>
      <c r="AL547" s="38"/>
      <c r="AM547" s="38"/>
      <c r="AN547" s="38"/>
      <c r="AO547" s="38"/>
      <c r="AP547" s="38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  <c r="BA547" s="38"/>
      <c r="BB547" s="38"/>
      <c r="BC547" s="38"/>
      <c r="BD547" s="38"/>
      <c r="BE547" s="38"/>
      <c r="BF547" s="38"/>
      <c r="BG547" s="38"/>
      <c r="BH547" s="38"/>
      <c r="BI547" s="38"/>
      <c r="BJ547" s="38"/>
      <c r="BK547" s="38"/>
      <c r="BL547" s="38"/>
      <c r="BM547" s="38"/>
      <c r="BN547" s="38"/>
      <c r="BO547" s="38"/>
      <c r="BP547" s="38"/>
      <c r="BQ547" s="38"/>
      <c r="BR547" s="38"/>
    </row>
    <row r="548" spans="1:70">
      <c r="A548" s="38"/>
      <c r="B548" s="38"/>
      <c r="C548" s="43"/>
      <c r="D548" s="38"/>
      <c r="E548" s="38"/>
      <c r="F548" s="43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8"/>
      <c r="AJ548" s="38"/>
      <c r="AK548" s="38"/>
      <c r="AL548" s="38"/>
      <c r="AM548" s="38"/>
      <c r="AN548" s="38"/>
      <c r="AO548" s="38"/>
      <c r="AP548" s="38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  <c r="BA548" s="38"/>
      <c r="BB548" s="38"/>
      <c r="BC548" s="38"/>
      <c r="BD548" s="38"/>
      <c r="BE548" s="38"/>
      <c r="BF548" s="38"/>
      <c r="BG548" s="38"/>
      <c r="BH548" s="38"/>
      <c r="BI548" s="38"/>
      <c r="BJ548" s="38"/>
      <c r="BK548" s="38"/>
      <c r="BL548" s="38"/>
      <c r="BM548" s="38"/>
      <c r="BN548" s="38"/>
      <c r="BO548" s="38"/>
      <c r="BP548" s="38"/>
      <c r="BQ548" s="38"/>
      <c r="BR548" s="38"/>
    </row>
    <row r="549" spans="1:70">
      <c r="A549" s="38"/>
      <c r="B549" s="38"/>
      <c r="C549" s="43"/>
      <c r="D549" s="38"/>
      <c r="E549" s="38"/>
      <c r="F549" s="43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8"/>
      <c r="AJ549" s="38"/>
      <c r="AK549" s="38"/>
      <c r="AL549" s="38"/>
      <c r="AM549" s="38"/>
      <c r="AN549" s="38"/>
      <c r="AO549" s="38"/>
      <c r="AP549" s="38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  <c r="BA549" s="38"/>
      <c r="BB549" s="38"/>
      <c r="BC549" s="38"/>
      <c r="BD549" s="38"/>
      <c r="BE549" s="38"/>
      <c r="BF549" s="38"/>
      <c r="BG549" s="38"/>
      <c r="BH549" s="38"/>
      <c r="BI549" s="38"/>
      <c r="BJ549" s="38"/>
      <c r="BK549" s="38"/>
      <c r="BL549" s="38"/>
      <c r="BM549" s="38"/>
      <c r="BN549" s="38"/>
      <c r="BO549" s="38"/>
      <c r="BP549" s="38"/>
      <c r="BQ549" s="38"/>
      <c r="BR549" s="38"/>
    </row>
    <row r="550" spans="1:70">
      <c r="A550" s="38"/>
      <c r="B550" s="38"/>
      <c r="C550" s="43"/>
      <c r="D550" s="38"/>
      <c r="E550" s="38"/>
      <c r="F550" s="43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8"/>
      <c r="AJ550" s="38"/>
      <c r="AK550" s="38"/>
      <c r="AL550" s="38"/>
      <c r="AM550" s="38"/>
      <c r="AN550" s="38"/>
      <c r="AO550" s="38"/>
      <c r="AP550" s="38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  <c r="BA550" s="38"/>
      <c r="BB550" s="38"/>
      <c r="BC550" s="38"/>
      <c r="BD550" s="38"/>
      <c r="BE550" s="38"/>
      <c r="BF550" s="38"/>
      <c r="BG550" s="38"/>
      <c r="BH550" s="38"/>
      <c r="BI550" s="38"/>
      <c r="BJ550" s="38"/>
      <c r="BK550" s="38"/>
      <c r="BL550" s="38"/>
      <c r="BM550" s="38"/>
      <c r="BN550" s="38"/>
      <c r="BO550" s="38"/>
      <c r="BP550" s="38"/>
      <c r="BQ550" s="38"/>
      <c r="BR550" s="38"/>
    </row>
    <row r="551" spans="1:70">
      <c r="A551" s="38"/>
      <c r="B551" s="38"/>
      <c r="C551" s="43"/>
      <c r="D551" s="38"/>
      <c r="E551" s="38"/>
      <c r="F551" s="43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8"/>
      <c r="AJ551" s="38"/>
      <c r="AK551" s="38"/>
      <c r="AL551" s="38"/>
      <c r="AM551" s="38"/>
      <c r="AN551" s="38"/>
      <c r="AO551" s="38"/>
      <c r="AP551" s="38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  <c r="BA551" s="38"/>
      <c r="BB551" s="38"/>
      <c r="BC551" s="38"/>
      <c r="BD551" s="38"/>
      <c r="BE551" s="38"/>
      <c r="BF551" s="38"/>
      <c r="BG551" s="38"/>
      <c r="BH551" s="38"/>
      <c r="BI551" s="38"/>
      <c r="BJ551" s="38"/>
      <c r="BK551" s="38"/>
      <c r="BL551" s="38"/>
      <c r="BM551" s="38"/>
      <c r="BN551" s="38"/>
      <c r="BO551" s="38"/>
      <c r="BP551" s="38"/>
      <c r="BQ551" s="38"/>
      <c r="BR551" s="38"/>
    </row>
    <row r="552" spans="1:70">
      <c r="A552" s="38"/>
      <c r="B552" s="38"/>
      <c r="C552" s="43"/>
      <c r="D552" s="38"/>
      <c r="E552" s="38"/>
      <c r="F552" s="43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8"/>
      <c r="AJ552" s="38"/>
      <c r="AK552" s="38"/>
      <c r="AL552" s="38"/>
      <c r="AM552" s="38"/>
      <c r="AN552" s="38"/>
      <c r="AO552" s="38"/>
      <c r="AP552" s="38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  <c r="BA552" s="38"/>
      <c r="BB552" s="38"/>
      <c r="BC552" s="38"/>
      <c r="BD552" s="38"/>
      <c r="BE552" s="38"/>
      <c r="BF552" s="38"/>
      <c r="BG552" s="38"/>
      <c r="BH552" s="38"/>
      <c r="BI552" s="38"/>
      <c r="BJ552" s="38"/>
      <c r="BK552" s="38"/>
      <c r="BL552" s="38"/>
      <c r="BM552" s="38"/>
      <c r="BN552" s="38"/>
      <c r="BO552" s="38"/>
      <c r="BP552" s="38"/>
      <c r="BQ552" s="38"/>
      <c r="BR552" s="38"/>
    </row>
    <row r="553" spans="1:70">
      <c r="A553" s="38"/>
      <c r="B553" s="38"/>
      <c r="C553" s="43"/>
      <c r="D553" s="38"/>
      <c r="E553" s="38"/>
      <c r="F553" s="43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8"/>
      <c r="AJ553" s="38"/>
      <c r="AK553" s="38"/>
      <c r="AL553" s="38"/>
      <c r="AM553" s="38"/>
      <c r="AN553" s="38"/>
      <c r="AO553" s="38"/>
      <c r="AP553" s="38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  <c r="BA553" s="38"/>
      <c r="BB553" s="38"/>
      <c r="BC553" s="38"/>
      <c r="BD553" s="38"/>
      <c r="BE553" s="38"/>
      <c r="BF553" s="38"/>
      <c r="BG553" s="38"/>
      <c r="BH553" s="38"/>
      <c r="BI553" s="38"/>
      <c r="BJ553" s="38"/>
      <c r="BK553" s="38"/>
      <c r="BL553" s="38"/>
      <c r="BM553" s="38"/>
      <c r="BN553" s="38"/>
      <c r="BO553" s="38"/>
      <c r="BP553" s="38"/>
      <c r="BQ553" s="38"/>
      <c r="BR553" s="38"/>
    </row>
    <row r="554" spans="1:70">
      <c r="A554" s="38"/>
      <c r="B554" s="38"/>
      <c r="C554" s="43"/>
      <c r="D554" s="38"/>
      <c r="E554" s="38"/>
      <c r="F554" s="43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8"/>
      <c r="AJ554" s="38"/>
      <c r="AK554" s="38"/>
      <c r="AL554" s="38"/>
      <c r="AM554" s="38"/>
      <c r="AN554" s="38"/>
      <c r="AO554" s="38"/>
      <c r="AP554" s="38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  <c r="BA554" s="38"/>
      <c r="BB554" s="38"/>
      <c r="BC554" s="38"/>
      <c r="BD554" s="38"/>
      <c r="BE554" s="38"/>
      <c r="BF554" s="38"/>
      <c r="BG554" s="38"/>
      <c r="BH554" s="38"/>
      <c r="BI554" s="38"/>
      <c r="BJ554" s="38"/>
      <c r="BK554" s="38"/>
      <c r="BL554" s="38"/>
      <c r="BM554" s="38"/>
      <c r="BN554" s="38"/>
      <c r="BO554" s="38"/>
      <c r="BP554" s="38"/>
      <c r="BQ554" s="38"/>
      <c r="BR554" s="38"/>
    </row>
    <row r="555" spans="1:70">
      <c r="A555" s="38"/>
      <c r="B555" s="38"/>
      <c r="C555" s="43"/>
      <c r="D555" s="38"/>
      <c r="E555" s="38"/>
      <c r="F555" s="43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8"/>
      <c r="AJ555" s="38"/>
      <c r="AK555" s="38"/>
      <c r="AL555" s="38"/>
      <c r="AM555" s="38"/>
      <c r="AN555" s="38"/>
      <c r="AO555" s="38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  <c r="BA555" s="38"/>
      <c r="BB555" s="38"/>
      <c r="BC555" s="38"/>
      <c r="BD555" s="38"/>
      <c r="BE555" s="38"/>
      <c r="BF555" s="38"/>
      <c r="BG555" s="38"/>
      <c r="BH555" s="38"/>
      <c r="BI555" s="38"/>
      <c r="BJ555" s="38"/>
      <c r="BK555" s="38"/>
      <c r="BL555" s="38"/>
      <c r="BM555" s="38"/>
      <c r="BN555" s="38"/>
      <c r="BO555" s="38"/>
      <c r="BP555" s="38"/>
      <c r="BQ555" s="38"/>
      <c r="BR555" s="38"/>
    </row>
    <row r="556" spans="1:70">
      <c r="A556" s="38"/>
      <c r="B556" s="38"/>
      <c r="C556" s="43"/>
      <c r="D556" s="38"/>
      <c r="E556" s="38"/>
      <c r="F556" s="43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8"/>
      <c r="AJ556" s="38"/>
      <c r="AK556" s="38"/>
      <c r="AL556" s="38"/>
      <c r="AM556" s="38"/>
      <c r="AN556" s="38"/>
      <c r="AO556" s="38"/>
      <c r="AP556" s="38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  <c r="BA556" s="38"/>
      <c r="BB556" s="38"/>
      <c r="BC556" s="38"/>
      <c r="BD556" s="38"/>
      <c r="BE556" s="38"/>
      <c r="BF556" s="38"/>
      <c r="BG556" s="38"/>
      <c r="BH556" s="38"/>
      <c r="BI556" s="38"/>
      <c r="BJ556" s="38"/>
      <c r="BK556" s="38"/>
      <c r="BL556" s="38"/>
      <c r="BM556" s="38"/>
      <c r="BN556" s="38"/>
      <c r="BO556" s="38"/>
      <c r="BP556" s="38"/>
      <c r="BQ556" s="38"/>
      <c r="BR556" s="38"/>
    </row>
    <row r="557" spans="1:70">
      <c r="A557" s="38"/>
      <c r="B557" s="38"/>
      <c r="C557" s="43"/>
      <c r="D557" s="38"/>
      <c r="E557" s="38"/>
      <c r="F557" s="43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8"/>
      <c r="AJ557" s="38"/>
      <c r="AK557" s="38"/>
      <c r="AL557" s="38"/>
      <c r="AM557" s="38"/>
      <c r="AN557" s="38"/>
      <c r="AO557" s="38"/>
      <c r="AP557" s="38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  <c r="BA557" s="38"/>
      <c r="BB557" s="38"/>
      <c r="BC557" s="38"/>
      <c r="BD557" s="38"/>
      <c r="BE557" s="38"/>
      <c r="BF557" s="38"/>
      <c r="BG557" s="38"/>
      <c r="BH557" s="38"/>
      <c r="BI557" s="38"/>
      <c r="BJ557" s="38"/>
      <c r="BK557" s="38"/>
      <c r="BL557" s="38"/>
      <c r="BM557" s="38"/>
      <c r="BN557" s="38"/>
      <c r="BO557" s="38"/>
      <c r="BP557" s="38"/>
      <c r="BQ557" s="38"/>
      <c r="BR557" s="38"/>
    </row>
    <row r="558" spans="1:70">
      <c r="A558" s="38"/>
      <c r="B558" s="38"/>
      <c r="C558" s="43"/>
      <c r="D558" s="38"/>
      <c r="E558" s="38"/>
      <c r="F558" s="43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8"/>
      <c r="AJ558" s="38"/>
      <c r="AK558" s="38"/>
      <c r="AL558" s="38"/>
      <c r="AM558" s="38"/>
      <c r="AN558" s="38"/>
      <c r="AO558" s="38"/>
      <c r="AP558" s="38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  <c r="BA558" s="38"/>
      <c r="BB558" s="38"/>
      <c r="BC558" s="38"/>
      <c r="BD558" s="38"/>
      <c r="BE558" s="38"/>
      <c r="BF558" s="38"/>
      <c r="BG558" s="38"/>
      <c r="BH558" s="38"/>
      <c r="BI558" s="38"/>
      <c r="BJ558" s="38"/>
      <c r="BK558" s="38"/>
      <c r="BL558" s="38"/>
      <c r="BM558" s="38"/>
      <c r="BN558" s="38"/>
      <c r="BO558" s="38"/>
      <c r="BP558" s="38"/>
      <c r="BQ558" s="38"/>
      <c r="BR558" s="38"/>
    </row>
    <row r="559" spans="1:70">
      <c r="A559" s="38"/>
      <c r="B559" s="38"/>
      <c r="C559" s="43"/>
      <c r="D559" s="38"/>
      <c r="E559" s="38"/>
      <c r="F559" s="43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8"/>
      <c r="AJ559" s="38"/>
      <c r="AK559" s="38"/>
      <c r="AL559" s="38"/>
      <c r="AM559" s="38"/>
      <c r="AN559" s="38"/>
      <c r="AO559" s="38"/>
      <c r="AP559" s="38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  <c r="BA559" s="38"/>
      <c r="BB559" s="38"/>
      <c r="BC559" s="38"/>
      <c r="BD559" s="38"/>
      <c r="BE559" s="38"/>
      <c r="BF559" s="38"/>
      <c r="BG559" s="38"/>
      <c r="BH559" s="38"/>
      <c r="BI559" s="38"/>
      <c r="BJ559" s="38"/>
      <c r="BK559" s="38"/>
      <c r="BL559" s="38"/>
      <c r="BM559" s="38"/>
      <c r="BN559" s="38"/>
      <c r="BO559" s="38"/>
      <c r="BP559" s="38"/>
      <c r="BQ559" s="38"/>
      <c r="BR559" s="38"/>
    </row>
    <row r="560" spans="1:70">
      <c r="A560" s="38"/>
      <c r="B560" s="38"/>
      <c r="C560" s="43"/>
      <c r="D560" s="38"/>
      <c r="E560" s="38"/>
      <c r="F560" s="43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8"/>
      <c r="AJ560" s="38"/>
      <c r="AK560" s="38"/>
      <c r="AL560" s="38"/>
      <c r="AM560" s="38"/>
      <c r="AN560" s="38"/>
      <c r="AO560" s="38"/>
      <c r="AP560" s="38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  <c r="BA560" s="38"/>
      <c r="BB560" s="38"/>
      <c r="BC560" s="38"/>
      <c r="BD560" s="38"/>
      <c r="BE560" s="38"/>
      <c r="BF560" s="38"/>
      <c r="BG560" s="38"/>
      <c r="BH560" s="38"/>
      <c r="BI560" s="38"/>
      <c r="BJ560" s="38"/>
      <c r="BK560" s="38"/>
      <c r="BL560" s="38"/>
      <c r="BM560" s="38"/>
      <c r="BN560" s="38"/>
      <c r="BO560" s="38"/>
      <c r="BP560" s="38"/>
      <c r="BQ560" s="38"/>
      <c r="BR560" s="38"/>
    </row>
    <row r="561" spans="1:70">
      <c r="A561" s="38"/>
      <c r="B561" s="38"/>
      <c r="C561" s="43"/>
      <c r="D561" s="38"/>
      <c r="E561" s="38"/>
      <c r="F561" s="43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8"/>
      <c r="AJ561" s="38"/>
      <c r="AK561" s="38"/>
      <c r="AL561" s="38"/>
      <c r="AM561" s="38"/>
      <c r="AN561" s="38"/>
      <c r="AO561" s="38"/>
      <c r="AP561" s="38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  <c r="BA561" s="38"/>
      <c r="BB561" s="38"/>
      <c r="BC561" s="38"/>
      <c r="BD561" s="38"/>
      <c r="BE561" s="38"/>
      <c r="BF561" s="38"/>
      <c r="BG561" s="38"/>
      <c r="BH561" s="38"/>
      <c r="BI561" s="38"/>
      <c r="BJ561" s="38"/>
      <c r="BK561" s="38"/>
      <c r="BL561" s="38"/>
      <c r="BM561" s="38"/>
      <c r="BN561" s="38"/>
      <c r="BO561" s="38"/>
      <c r="BP561" s="38"/>
      <c r="BQ561" s="38"/>
      <c r="BR561" s="38"/>
    </row>
    <row r="562" spans="1:70">
      <c r="A562" s="38"/>
      <c r="B562" s="38"/>
      <c r="C562" s="43"/>
      <c r="D562" s="38"/>
      <c r="E562" s="38"/>
      <c r="F562" s="43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8"/>
      <c r="AJ562" s="38"/>
      <c r="AK562" s="38"/>
      <c r="AL562" s="38"/>
      <c r="AM562" s="38"/>
      <c r="AN562" s="38"/>
      <c r="AO562" s="38"/>
      <c r="AP562" s="38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  <c r="BA562" s="38"/>
      <c r="BB562" s="38"/>
      <c r="BC562" s="38"/>
      <c r="BD562" s="38"/>
      <c r="BE562" s="38"/>
      <c r="BF562" s="38"/>
      <c r="BG562" s="38"/>
      <c r="BH562" s="38"/>
      <c r="BI562" s="38"/>
      <c r="BJ562" s="38"/>
      <c r="BK562" s="38"/>
      <c r="BL562" s="38"/>
      <c r="BM562" s="38"/>
      <c r="BN562" s="38"/>
      <c r="BO562" s="38"/>
      <c r="BP562" s="38"/>
      <c r="BQ562" s="38"/>
      <c r="BR562" s="38"/>
    </row>
    <row r="563" spans="1:70">
      <c r="A563" s="38"/>
      <c r="B563" s="38"/>
      <c r="C563" s="43"/>
      <c r="D563" s="38"/>
      <c r="E563" s="38"/>
      <c r="F563" s="43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8"/>
      <c r="AJ563" s="38"/>
      <c r="AK563" s="38"/>
      <c r="AL563" s="38"/>
      <c r="AM563" s="38"/>
      <c r="AN563" s="38"/>
      <c r="AO563" s="38"/>
      <c r="AP563" s="38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  <c r="BA563" s="38"/>
      <c r="BB563" s="38"/>
      <c r="BC563" s="38"/>
      <c r="BD563" s="38"/>
      <c r="BE563" s="38"/>
      <c r="BF563" s="38"/>
      <c r="BG563" s="38"/>
      <c r="BH563" s="38"/>
      <c r="BI563" s="38"/>
      <c r="BJ563" s="38"/>
      <c r="BK563" s="38"/>
      <c r="BL563" s="38"/>
      <c r="BM563" s="38"/>
      <c r="BN563" s="38"/>
      <c r="BO563" s="38"/>
      <c r="BP563" s="38"/>
      <c r="BQ563" s="38"/>
      <c r="BR563" s="38"/>
    </row>
    <row r="564" spans="1:70">
      <c r="A564" s="38"/>
      <c r="B564" s="38"/>
      <c r="C564" s="43"/>
      <c r="D564" s="38"/>
      <c r="E564" s="38"/>
      <c r="F564" s="43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8"/>
      <c r="AJ564" s="38"/>
      <c r="AK564" s="38"/>
      <c r="AL564" s="38"/>
      <c r="AM564" s="38"/>
      <c r="AN564" s="38"/>
      <c r="AO564" s="38"/>
      <c r="AP564" s="38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  <c r="BA564" s="38"/>
      <c r="BB564" s="38"/>
      <c r="BC564" s="38"/>
      <c r="BD564" s="38"/>
      <c r="BE564" s="38"/>
      <c r="BF564" s="38"/>
      <c r="BG564" s="38"/>
      <c r="BH564" s="38"/>
      <c r="BI564" s="38"/>
      <c r="BJ564" s="38"/>
      <c r="BK564" s="38"/>
      <c r="BL564" s="38"/>
      <c r="BM564" s="38"/>
      <c r="BN564" s="38"/>
      <c r="BO564" s="38"/>
      <c r="BP564" s="38"/>
      <c r="BQ564" s="38"/>
      <c r="BR564" s="38"/>
    </row>
    <row r="565" spans="1:70">
      <c r="A565" s="38"/>
      <c r="B565" s="38"/>
      <c r="C565" s="43"/>
      <c r="D565" s="38"/>
      <c r="E565" s="38"/>
      <c r="F565" s="43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8"/>
      <c r="AJ565" s="38"/>
      <c r="AK565" s="38"/>
      <c r="AL565" s="38"/>
      <c r="AM565" s="38"/>
      <c r="AN565" s="38"/>
      <c r="AO565" s="38"/>
      <c r="AP565" s="38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  <c r="BA565" s="38"/>
      <c r="BB565" s="38"/>
      <c r="BC565" s="38"/>
      <c r="BD565" s="38"/>
      <c r="BE565" s="38"/>
      <c r="BF565" s="38"/>
      <c r="BG565" s="38"/>
      <c r="BH565" s="38"/>
      <c r="BI565" s="38"/>
      <c r="BJ565" s="38"/>
      <c r="BK565" s="38"/>
      <c r="BL565" s="38"/>
      <c r="BM565" s="38"/>
      <c r="BN565" s="38"/>
      <c r="BO565" s="38"/>
      <c r="BP565" s="38"/>
      <c r="BQ565" s="38"/>
      <c r="BR565" s="38"/>
    </row>
    <row r="566" spans="1:70">
      <c r="A566" s="38"/>
      <c r="B566" s="38"/>
      <c r="C566" s="43"/>
      <c r="D566" s="38"/>
      <c r="E566" s="38"/>
      <c r="F566" s="43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8"/>
      <c r="AJ566" s="38"/>
      <c r="AK566" s="38"/>
      <c r="AL566" s="38"/>
      <c r="AM566" s="38"/>
      <c r="AN566" s="38"/>
      <c r="AO566" s="38"/>
      <c r="AP566" s="38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  <c r="BA566" s="38"/>
      <c r="BB566" s="38"/>
      <c r="BC566" s="38"/>
      <c r="BD566" s="38"/>
      <c r="BE566" s="38"/>
      <c r="BF566" s="38"/>
      <c r="BG566" s="38"/>
      <c r="BH566" s="38"/>
      <c r="BI566" s="38"/>
      <c r="BJ566" s="38"/>
      <c r="BK566" s="38"/>
      <c r="BL566" s="38"/>
      <c r="BM566" s="38"/>
      <c r="BN566" s="38"/>
      <c r="BO566" s="38"/>
      <c r="BP566" s="38"/>
      <c r="BQ566" s="38"/>
      <c r="BR566" s="38"/>
    </row>
    <row r="567" spans="1:70">
      <c r="A567" s="38"/>
      <c r="B567" s="38"/>
      <c r="C567" s="43"/>
      <c r="D567" s="38"/>
      <c r="E567" s="38"/>
      <c r="F567" s="43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8"/>
      <c r="AJ567" s="38"/>
      <c r="AK567" s="38"/>
      <c r="AL567" s="38"/>
      <c r="AM567" s="38"/>
      <c r="AN567" s="38"/>
      <c r="AO567" s="38"/>
      <c r="AP567" s="38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  <c r="BA567" s="38"/>
      <c r="BB567" s="38"/>
      <c r="BC567" s="38"/>
      <c r="BD567" s="38"/>
      <c r="BE567" s="38"/>
      <c r="BF567" s="38"/>
      <c r="BG567" s="38"/>
      <c r="BH567" s="38"/>
      <c r="BI567" s="38"/>
      <c r="BJ567" s="38"/>
      <c r="BK567" s="38"/>
      <c r="BL567" s="38"/>
      <c r="BM567" s="38"/>
      <c r="BN567" s="38"/>
      <c r="BO567" s="38"/>
      <c r="BP567" s="38"/>
      <c r="BQ567" s="38"/>
      <c r="BR567" s="38"/>
    </row>
    <row r="568" spans="1:70">
      <c r="A568" s="38"/>
      <c r="B568" s="38"/>
      <c r="C568" s="43"/>
      <c r="D568" s="38"/>
      <c r="E568" s="38"/>
      <c r="F568" s="43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8"/>
      <c r="AJ568" s="38"/>
      <c r="AK568" s="38"/>
      <c r="AL568" s="38"/>
      <c r="AM568" s="38"/>
      <c r="AN568" s="38"/>
      <c r="AO568" s="38"/>
      <c r="AP568" s="38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  <c r="BA568" s="38"/>
      <c r="BB568" s="38"/>
      <c r="BC568" s="38"/>
      <c r="BD568" s="38"/>
      <c r="BE568" s="38"/>
      <c r="BF568" s="38"/>
      <c r="BG568" s="38"/>
      <c r="BH568" s="38"/>
      <c r="BI568" s="38"/>
      <c r="BJ568" s="38"/>
      <c r="BK568" s="38"/>
      <c r="BL568" s="38"/>
      <c r="BM568" s="38"/>
      <c r="BN568" s="38"/>
      <c r="BO568" s="38"/>
      <c r="BP568" s="38"/>
      <c r="BQ568" s="38"/>
      <c r="BR568" s="38"/>
    </row>
    <row r="569" spans="1:70">
      <c r="A569" s="38"/>
      <c r="B569" s="38"/>
      <c r="C569" s="43"/>
      <c r="D569" s="38"/>
      <c r="E569" s="38"/>
      <c r="F569" s="43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8"/>
      <c r="AJ569" s="38"/>
      <c r="AK569" s="38"/>
      <c r="AL569" s="38"/>
      <c r="AM569" s="38"/>
      <c r="AN569" s="38"/>
      <c r="AO569" s="38"/>
      <c r="AP569" s="38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  <c r="BA569" s="38"/>
      <c r="BB569" s="38"/>
      <c r="BC569" s="38"/>
      <c r="BD569" s="38"/>
      <c r="BE569" s="38"/>
      <c r="BF569" s="38"/>
      <c r="BG569" s="38"/>
      <c r="BH569" s="38"/>
      <c r="BI569" s="38"/>
      <c r="BJ569" s="38"/>
      <c r="BK569" s="38"/>
      <c r="BL569" s="38"/>
      <c r="BM569" s="38"/>
      <c r="BN569" s="38"/>
      <c r="BO569" s="38"/>
      <c r="BP569" s="38"/>
      <c r="BQ569" s="38"/>
      <c r="BR569" s="38"/>
    </row>
    <row r="570" spans="1:70">
      <c r="A570" s="38"/>
      <c r="B570" s="38"/>
      <c r="C570" s="43"/>
      <c r="D570" s="38"/>
      <c r="E570" s="38"/>
      <c r="F570" s="43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8"/>
      <c r="AJ570" s="38"/>
      <c r="AK570" s="38"/>
      <c r="AL570" s="38"/>
      <c r="AM570" s="38"/>
      <c r="AN570" s="38"/>
      <c r="AO570" s="38"/>
      <c r="AP570" s="38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  <c r="BA570" s="38"/>
      <c r="BB570" s="38"/>
      <c r="BC570" s="38"/>
      <c r="BD570" s="38"/>
      <c r="BE570" s="38"/>
      <c r="BF570" s="38"/>
      <c r="BG570" s="38"/>
      <c r="BH570" s="38"/>
      <c r="BI570" s="38"/>
      <c r="BJ570" s="38"/>
      <c r="BK570" s="38"/>
      <c r="BL570" s="38"/>
      <c r="BM570" s="38"/>
      <c r="BN570" s="38"/>
      <c r="BO570" s="38"/>
      <c r="BP570" s="38"/>
      <c r="BQ570" s="38"/>
      <c r="BR570" s="38"/>
    </row>
    <row r="571" spans="1:70">
      <c r="A571" s="38"/>
      <c r="B571" s="38"/>
      <c r="C571" s="43"/>
      <c r="D571" s="38"/>
      <c r="E571" s="38"/>
      <c r="F571" s="43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8"/>
      <c r="AJ571" s="38"/>
      <c r="AK571" s="38"/>
      <c r="AL571" s="38"/>
      <c r="AM571" s="38"/>
      <c r="AN571" s="38"/>
      <c r="AO571" s="38"/>
      <c r="AP571" s="38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  <c r="BA571" s="38"/>
      <c r="BB571" s="38"/>
      <c r="BC571" s="38"/>
      <c r="BD571" s="38"/>
      <c r="BE571" s="38"/>
      <c r="BF571" s="38"/>
      <c r="BG571" s="38"/>
      <c r="BH571" s="38"/>
      <c r="BI571" s="38"/>
      <c r="BJ571" s="38"/>
      <c r="BK571" s="38"/>
      <c r="BL571" s="38"/>
      <c r="BM571" s="38"/>
      <c r="BN571" s="38"/>
      <c r="BO571" s="38"/>
      <c r="BP571" s="38"/>
      <c r="BQ571" s="38"/>
      <c r="BR571" s="38"/>
    </row>
    <row r="572" spans="1:70">
      <c r="A572" s="38"/>
      <c r="B572" s="38"/>
      <c r="C572" s="43"/>
      <c r="D572" s="38"/>
      <c r="E572" s="38"/>
      <c r="F572" s="43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8"/>
      <c r="AJ572" s="38"/>
      <c r="AK572" s="38"/>
      <c r="AL572" s="38"/>
      <c r="AM572" s="38"/>
      <c r="AN572" s="38"/>
      <c r="AO572" s="38"/>
      <c r="AP572" s="38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  <c r="BA572" s="38"/>
      <c r="BB572" s="38"/>
      <c r="BC572" s="38"/>
      <c r="BD572" s="38"/>
      <c r="BE572" s="38"/>
      <c r="BF572" s="38"/>
      <c r="BG572" s="38"/>
      <c r="BH572" s="38"/>
      <c r="BI572" s="38"/>
      <c r="BJ572" s="38"/>
      <c r="BK572" s="38"/>
      <c r="BL572" s="38"/>
      <c r="BM572" s="38"/>
      <c r="BN572" s="38"/>
      <c r="BO572" s="38"/>
      <c r="BP572" s="38"/>
      <c r="BQ572" s="38"/>
      <c r="BR572" s="38"/>
    </row>
    <row r="573" spans="1:70">
      <c r="A573" s="38"/>
      <c r="B573" s="38"/>
      <c r="C573" s="43"/>
      <c r="D573" s="38"/>
      <c r="E573" s="38"/>
      <c r="F573" s="43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8"/>
      <c r="AJ573" s="38"/>
      <c r="AK573" s="38"/>
      <c r="AL573" s="38"/>
      <c r="AM573" s="38"/>
      <c r="AN573" s="38"/>
      <c r="AO573" s="38"/>
      <c r="AP573" s="38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  <c r="BA573" s="38"/>
      <c r="BB573" s="38"/>
      <c r="BC573" s="38"/>
      <c r="BD573" s="38"/>
      <c r="BE573" s="38"/>
      <c r="BF573" s="38"/>
      <c r="BG573" s="38"/>
      <c r="BH573" s="38"/>
      <c r="BI573" s="38"/>
      <c r="BJ573" s="38"/>
      <c r="BK573" s="38"/>
      <c r="BL573" s="38"/>
      <c r="BM573" s="38"/>
      <c r="BN573" s="38"/>
      <c r="BO573" s="38"/>
      <c r="BP573" s="38"/>
      <c r="BQ573" s="38"/>
      <c r="BR573" s="38"/>
    </row>
    <row r="574" spans="1:70">
      <c r="A574" s="38"/>
      <c r="B574" s="38"/>
      <c r="C574" s="43"/>
      <c r="D574" s="38"/>
      <c r="E574" s="38"/>
      <c r="F574" s="43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8"/>
      <c r="AJ574" s="38"/>
      <c r="AK574" s="38"/>
      <c r="AL574" s="38"/>
      <c r="AM574" s="38"/>
      <c r="AN574" s="38"/>
      <c r="AO574" s="38"/>
      <c r="AP574" s="38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  <c r="BA574" s="38"/>
      <c r="BB574" s="38"/>
      <c r="BC574" s="38"/>
      <c r="BD574" s="38"/>
      <c r="BE574" s="38"/>
      <c r="BF574" s="38"/>
      <c r="BG574" s="38"/>
      <c r="BH574" s="38"/>
      <c r="BI574" s="38"/>
      <c r="BJ574" s="38"/>
      <c r="BK574" s="38"/>
      <c r="BL574" s="38"/>
      <c r="BM574" s="38"/>
      <c r="BN574" s="38"/>
      <c r="BO574" s="38"/>
      <c r="BP574" s="38"/>
      <c r="BQ574" s="38"/>
      <c r="BR574" s="38"/>
    </row>
    <row r="575" spans="1:70">
      <c r="A575" s="38"/>
      <c r="B575" s="38"/>
      <c r="C575" s="43"/>
      <c r="D575" s="38"/>
      <c r="E575" s="38"/>
      <c r="F575" s="43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8"/>
      <c r="AJ575" s="38"/>
      <c r="AK575" s="38"/>
      <c r="AL575" s="38"/>
      <c r="AM575" s="38"/>
      <c r="AN575" s="38"/>
      <c r="AO575" s="38"/>
      <c r="AP575" s="38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  <c r="BA575" s="38"/>
      <c r="BB575" s="38"/>
      <c r="BC575" s="38"/>
      <c r="BD575" s="38"/>
      <c r="BE575" s="38"/>
      <c r="BF575" s="38"/>
      <c r="BG575" s="38"/>
      <c r="BH575" s="38"/>
      <c r="BI575" s="38"/>
      <c r="BJ575" s="38"/>
      <c r="BK575" s="38"/>
      <c r="BL575" s="38"/>
      <c r="BM575" s="38"/>
      <c r="BN575" s="38"/>
      <c r="BO575" s="38"/>
      <c r="BP575" s="38"/>
      <c r="BQ575" s="38"/>
      <c r="BR575" s="38"/>
    </row>
    <row r="576" spans="1:70">
      <c r="A576" s="38"/>
      <c r="B576" s="38"/>
      <c r="C576" s="43"/>
      <c r="D576" s="38"/>
      <c r="E576" s="38"/>
      <c r="F576" s="43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8"/>
      <c r="AJ576" s="38"/>
      <c r="AK576" s="38"/>
      <c r="AL576" s="38"/>
      <c r="AM576" s="38"/>
      <c r="AN576" s="38"/>
      <c r="AO576" s="38"/>
      <c r="AP576" s="38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  <c r="BA576" s="38"/>
      <c r="BB576" s="38"/>
      <c r="BC576" s="38"/>
      <c r="BD576" s="38"/>
      <c r="BE576" s="38"/>
      <c r="BF576" s="38"/>
      <c r="BG576" s="38"/>
      <c r="BH576" s="38"/>
      <c r="BI576" s="38"/>
      <c r="BJ576" s="38"/>
      <c r="BK576" s="38"/>
      <c r="BL576" s="38"/>
      <c r="BM576" s="38"/>
      <c r="BN576" s="38"/>
      <c r="BO576" s="38"/>
      <c r="BP576" s="38"/>
      <c r="BQ576" s="38"/>
      <c r="BR576" s="38"/>
    </row>
    <row r="577" spans="1:70">
      <c r="A577" s="38"/>
      <c r="B577" s="38"/>
      <c r="C577" s="43"/>
      <c r="D577" s="38"/>
      <c r="E577" s="38"/>
      <c r="F577" s="43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8"/>
      <c r="AJ577" s="38"/>
      <c r="AK577" s="38"/>
      <c r="AL577" s="38"/>
      <c r="AM577" s="38"/>
      <c r="AN577" s="38"/>
      <c r="AO577" s="38"/>
      <c r="AP577" s="38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  <c r="BA577" s="38"/>
      <c r="BB577" s="38"/>
      <c r="BC577" s="38"/>
      <c r="BD577" s="38"/>
      <c r="BE577" s="38"/>
      <c r="BF577" s="38"/>
      <c r="BG577" s="38"/>
      <c r="BH577" s="38"/>
      <c r="BI577" s="38"/>
      <c r="BJ577" s="38"/>
      <c r="BK577" s="38"/>
      <c r="BL577" s="38"/>
      <c r="BM577" s="38"/>
      <c r="BN577" s="38"/>
      <c r="BO577" s="38"/>
      <c r="BP577" s="38"/>
      <c r="BQ577" s="38"/>
      <c r="BR577" s="38"/>
    </row>
    <row r="578" spans="1:70">
      <c r="A578" s="38"/>
      <c r="B578" s="38"/>
      <c r="C578" s="43"/>
      <c r="D578" s="38"/>
      <c r="E578" s="38"/>
      <c r="F578" s="43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8"/>
      <c r="AJ578" s="38"/>
      <c r="AK578" s="38"/>
      <c r="AL578" s="38"/>
      <c r="AM578" s="38"/>
      <c r="AN578" s="38"/>
      <c r="AO578" s="38"/>
      <c r="AP578" s="38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  <c r="BA578" s="38"/>
      <c r="BB578" s="38"/>
      <c r="BC578" s="38"/>
      <c r="BD578" s="38"/>
      <c r="BE578" s="38"/>
      <c r="BF578" s="38"/>
      <c r="BG578" s="38"/>
      <c r="BH578" s="38"/>
      <c r="BI578" s="38"/>
      <c r="BJ578" s="38"/>
      <c r="BK578" s="38"/>
      <c r="BL578" s="38"/>
      <c r="BM578" s="38"/>
      <c r="BN578" s="38"/>
      <c r="BO578" s="38"/>
      <c r="BP578" s="38"/>
      <c r="BQ578" s="38"/>
      <c r="BR578" s="38"/>
    </row>
    <row r="579" spans="1:70">
      <c r="A579" s="38"/>
      <c r="B579" s="38"/>
      <c r="C579" s="43"/>
      <c r="D579" s="38"/>
      <c r="E579" s="38"/>
      <c r="F579" s="43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8"/>
      <c r="AJ579" s="38"/>
      <c r="AK579" s="38"/>
      <c r="AL579" s="38"/>
      <c r="AM579" s="38"/>
      <c r="AN579" s="38"/>
      <c r="AO579" s="38"/>
      <c r="AP579" s="38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  <c r="BA579" s="38"/>
      <c r="BB579" s="38"/>
      <c r="BC579" s="38"/>
      <c r="BD579" s="38"/>
      <c r="BE579" s="38"/>
      <c r="BF579" s="38"/>
      <c r="BG579" s="38"/>
      <c r="BH579" s="38"/>
      <c r="BI579" s="38"/>
      <c r="BJ579" s="38"/>
      <c r="BK579" s="38"/>
      <c r="BL579" s="38"/>
      <c r="BM579" s="38"/>
      <c r="BN579" s="38"/>
      <c r="BO579" s="38"/>
      <c r="BP579" s="38"/>
      <c r="BQ579" s="38"/>
      <c r="BR579" s="38"/>
    </row>
    <row r="580" spans="1:70">
      <c r="A580" s="38"/>
      <c r="B580" s="38"/>
      <c r="C580" s="43"/>
      <c r="D580" s="38"/>
      <c r="E580" s="38"/>
      <c r="F580" s="43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8"/>
      <c r="AJ580" s="38"/>
      <c r="AK580" s="38"/>
      <c r="AL580" s="38"/>
      <c r="AM580" s="38"/>
      <c r="AN580" s="38"/>
      <c r="AO580" s="38"/>
      <c r="AP580" s="38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  <c r="BA580" s="38"/>
      <c r="BB580" s="38"/>
      <c r="BC580" s="38"/>
      <c r="BD580" s="38"/>
      <c r="BE580" s="38"/>
      <c r="BF580" s="38"/>
      <c r="BG580" s="38"/>
      <c r="BH580" s="38"/>
      <c r="BI580" s="38"/>
      <c r="BJ580" s="38"/>
      <c r="BK580" s="38"/>
      <c r="BL580" s="38"/>
      <c r="BM580" s="38"/>
      <c r="BN580" s="38"/>
      <c r="BO580" s="38"/>
      <c r="BP580" s="38"/>
      <c r="BQ580" s="38"/>
      <c r="BR580" s="38"/>
    </row>
    <row r="581" spans="1:70">
      <c r="A581" s="38"/>
      <c r="B581" s="38"/>
      <c r="C581" s="43"/>
      <c r="D581" s="38"/>
      <c r="E581" s="38"/>
      <c r="F581" s="43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8"/>
      <c r="AJ581" s="38"/>
      <c r="AK581" s="38"/>
      <c r="AL581" s="38"/>
      <c r="AM581" s="38"/>
      <c r="AN581" s="38"/>
      <c r="AO581" s="38"/>
      <c r="AP581" s="38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  <c r="BA581" s="38"/>
      <c r="BB581" s="38"/>
      <c r="BC581" s="38"/>
      <c r="BD581" s="38"/>
      <c r="BE581" s="38"/>
      <c r="BF581" s="38"/>
      <c r="BG581" s="38"/>
      <c r="BH581" s="38"/>
      <c r="BI581" s="38"/>
      <c r="BJ581" s="38"/>
      <c r="BK581" s="38"/>
      <c r="BL581" s="38"/>
      <c r="BM581" s="38"/>
      <c r="BN581" s="38"/>
      <c r="BO581" s="38"/>
      <c r="BP581" s="38"/>
      <c r="BQ581" s="38"/>
      <c r="BR581" s="38"/>
    </row>
    <row r="582" spans="1:70">
      <c r="A582" s="38"/>
      <c r="B582" s="38"/>
      <c r="C582" s="43"/>
      <c r="D582" s="38"/>
      <c r="E582" s="38"/>
      <c r="F582" s="43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8"/>
      <c r="AJ582" s="38"/>
      <c r="AK582" s="38"/>
      <c r="AL582" s="38"/>
      <c r="AM582" s="38"/>
      <c r="AN582" s="38"/>
      <c r="AO582" s="38"/>
      <c r="AP582" s="38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  <c r="BA582" s="38"/>
      <c r="BB582" s="38"/>
      <c r="BC582" s="38"/>
      <c r="BD582" s="38"/>
      <c r="BE582" s="38"/>
      <c r="BF582" s="38"/>
      <c r="BG582" s="38"/>
      <c r="BH582" s="38"/>
      <c r="BI582" s="38"/>
      <c r="BJ582" s="38"/>
      <c r="BK582" s="38"/>
      <c r="BL582" s="38"/>
      <c r="BM582" s="38"/>
      <c r="BN582" s="38"/>
      <c r="BO582" s="38"/>
      <c r="BP582" s="38"/>
      <c r="BQ582" s="38"/>
      <c r="BR582" s="38"/>
    </row>
    <row r="583" spans="1:70">
      <c r="A583" s="38"/>
      <c r="B583" s="38"/>
      <c r="C583" s="43"/>
      <c r="D583" s="38"/>
      <c r="E583" s="38"/>
      <c r="F583" s="43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8"/>
      <c r="AJ583" s="38"/>
      <c r="AK583" s="38"/>
      <c r="AL583" s="38"/>
      <c r="AM583" s="38"/>
      <c r="AN583" s="38"/>
      <c r="AO583" s="38"/>
      <c r="AP583" s="38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  <c r="BA583" s="38"/>
      <c r="BB583" s="38"/>
      <c r="BC583" s="38"/>
      <c r="BD583" s="38"/>
      <c r="BE583" s="38"/>
      <c r="BF583" s="38"/>
      <c r="BG583" s="38"/>
      <c r="BH583" s="38"/>
      <c r="BI583" s="38"/>
      <c r="BJ583" s="38"/>
      <c r="BK583" s="38"/>
      <c r="BL583" s="38"/>
      <c r="BM583" s="38"/>
      <c r="BN583" s="38"/>
      <c r="BO583" s="38"/>
      <c r="BP583" s="38"/>
      <c r="BQ583" s="38"/>
      <c r="BR583" s="38"/>
    </row>
    <row r="584" spans="1:70">
      <c r="A584" s="38"/>
      <c r="B584" s="38"/>
      <c r="C584" s="43"/>
      <c r="D584" s="38"/>
      <c r="E584" s="38"/>
      <c r="F584" s="43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8"/>
      <c r="AJ584" s="38"/>
      <c r="AK584" s="38"/>
      <c r="AL584" s="38"/>
      <c r="AM584" s="38"/>
      <c r="AN584" s="38"/>
      <c r="AO584" s="38"/>
      <c r="AP584" s="38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  <c r="BA584" s="38"/>
      <c r="BB584" s="38"/>
      <c r="BC584" s="38"/>
      <c r="BD584" s="38"/>
      <c r="BE584" s="38"/>
      <c r="BF584" s="38"/>
      <c r="BG584" s="38"/>
      <c r="BH584" s="38"/>
      <c r="BI584" s="38"/>
      <c r="BJ584" s="38"/>
      <c r="BK584" s="38"/>
      <c r="BL584" s="38"/>
      <c r="BM584" s="38"/>
      <c r="BN584" s="38"/>
      <c r="BO584" s="38"/>
      <c r="BP584" s="38"/>
      <c r="BQ584" s="38"/>
      <c r="BR584" s="38"/>
    </row>
    <row r="585" spans="1:70">
      <c r="A585" s="38"/>
      <c r="B585" s="38"/>
      <c r="C585" s="43"/>
      <c r="D585" s="38"/>
      <c r="E585" s="38"/>
      <c r="F585" s="43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8"/>
      <c r="AJ585" s="38"/>
      <c r="AK585" s="38"/>
      <c r="AL585" s="38"/>
      <c r="AM585" s="38"/>
      <c r="AN585" s="38"/>
      <c r="AO585" s="38"/>
      <c r="AP585" s="38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  <c r="BA585" s="38"/>
      <c r="BB585" s="38"/>
      <c r="BC585" s="38"/>
      <c r="BD585" s="38"/>
      <c r="BE585" s="38"/>
      <c r="BF585" s="38"/>
      <c r="BG585" s="38"/>
      <c r="BH585" s="38"/>
      <c r="BI585" s="38"/>
      <c r="BJ585" s="38"/>
      <c r="BK585" s="38"/>
      <c r="BL585" s="38"/>
      <c r="BM585" s="38"/>
      <c r="BN585" s="38"/>
      <c r="BO585" s="38"/>
      <c r="BP585" s="38"/>
      <c r="BQ585" s="38"/>
      <c r="BR585" s="38"/>
    </row>
    <row r="586" spans="1:70">
      <c r="A586" s="38"/>
      <c r="B586" s="38"/>
      <c r="C586" s="43"/>
      <c r="D586" s="38"/>
      <c r="E586" s="38"/>
      <c r="F586" s="43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8"/>
      <c r="AJ586" s="38"/>
      <c r="AK586" s="38"/>
      <c r="AL586" s="38"/>
      <c r="AM586" s="38"/>
      <c r="AN586" s="38"/>
      <c r="AO586" s="38"/>
      <c r="AP586" s="38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  <c r="BA586" s="38"/>
      <c r="BB586" s="38"/>
      <c r="BC586" s="38"/>
      <c r="BD586" s="38"/>
      <c r="BE586" s="38"/>
      <c r="BF586" s="38"/>
      <c r="BG586" s="38"/>
      <c r="BH586" s="38"/>
      <c r="BI586" s="38"/>
      <c r="BJ586" s="38"/>
      <c r="BK586" s="38"/>
      <c r="BL586" s="38"/>
      <c r="BM586" s="38"/>
      <c r="BN586" s="38"/>
      <c r="BO586" s="38"/>
      <c r="BP586" s="38"/>
      <c r="BQ586" s="38"/>
      <c r="BR586" s="38"/>
    </row>
    <row r="587" spans="1:70">
      <c r="A587" s="38"/>
      <c r="B587" s="38"/>
      <c r="C587" s="43"/>
      <c r="D587" s="38"/>
      <c r="E587" s="38"/>
      <c r="F587" s="43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8"/>
      <c r="AJ587" s="38"/>
      <c r="AK587" s="38"/>
      <c r="AL587" s="38"/>
      <c r="AM587" s="38"/>
      <c r="AN587" s="38"/>
      <c r="AO587" s="38"/>
      <c r="AP587" s="38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  <c r="BA587" s="38"/>
      <c r="BB587" s="38"/>
      <c r="BC587" s="38"/>
      <c r="BD587" s="38"/>
      <c r="BE587" s="38"/>
      <c r="BF587" s="38"/>
      <c r="BG587" s="38"/>
      <c r="BH587" s="38"/>
      <c r="BI587" s="38"/>
      <c r="BJ587" s="38"/>
      <c r="BK587" s="38"/>
      <c r="BL587" s="38"/>
      <c r="BM587" s="38"/>
      <c r="BN587" s="38"/>
      <c r="BO587" s="38"/>
      <c r="BP587" s="38"/>
      <c r="BQ587" s="38"/>
      <c r="BR587" s="38"/>
    </row>
    <row r="588" spans="1:70">
      <c r="A588" s="38"/>
      <c r="B588" s="38"/>
      <c r="C588" s="43"/>
      <c r="D588" s="38"/>
      <c r="E588" s="38"/>
      <c r="F588" s="43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  <c r="AL588" s="38"/>
      <c r="AM588" s="38"/>
      <c r="AN588" s="38"/>
      <c r="AO588" s="38"/>
      <c r="AP588" s="38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  <c r="BA588" s="38"/>
      <c r="BB588" s="38"/>
      <c r="BC588" s="38"/>
      <c r="BD588" s="38"/>
      <c r="BE588" s="38"/>
      <c r="BF588" s="38"/>
      <c r="BG588" s="38"/>
      <c r="BH588" s="38"/>
      <c r="BI588" s="38"/>
      <c r="BJ588" s="38"/>
      <c r="BK588" s="38"/>
      <c r="BL588" s="38"/>
      <c r="BM588" s="38"/>
      <c r="BN588" s="38"/>
      <c r="BO588" s="38"/>
      <c r="BP588" s="38"/>
      <c r="BQ588" s="38"/>
      <c r="BR588" s="38"/>
    </row>
    <row r="589" spans="1:70">
      <c r="A589" s="38"/>
      <c r="B589" s="38"/>
      <c r="C589" s="43"/>
      <c r="D589" s="38"/>
      <c r="E589" s="38"/>
      <c r="F589" s="43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8"/>
      <c r="AJ589" s="38"/>
      <c r="AK589" s="38"/>
      <c r="AL589" s="38"/>
      <c r="AM589" s="38"/>
      <c r="AN589" s="38"/>
      <c r="AO589" s="38"/>
      <c r="AP589" s="38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  <c r="BA589" s="38"/>
      <c r="BB589" s="38"/>
      <c r="BC589" s="38"/>
      <c r="BD589" s="38"/>
      <c r="BE589" s="38"/>
      <c r="BF589" s="38"/>
      <c r="BG589" s="38"/>
      <c r="BH589" s="38"/>
      <c r="BI589" s="38"/>
      <c r="BJ589" s="38"/>
      <c r="BK589" s="38"/>
      <c r="BL589" s="38"/>
      <c r="BM589" s="38"/>
      <c r="BN589" s="38"/>
      <c r="BO589" s="38"/>
      <c r="BP589" s="38"/>
      <c r="BQ589" s="38"/>
      <c r="BR589" s="38"/>
    </row>
    <row r="590" spans="1:70">
      <c r="A590" s="38"/>
      <c r="B590" s="38"/>
      <c r="C590" s="43"/>
      <c r="D590" s="38"/>
      <c r="E590" s="38"/>
      <c r="F590" s="43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8"/>
      <c r="AJ590" s="38"/>
      <c r="AK590" s="38"/>
      <c r="AL590" s="38"/>
      <c r="AM590" s="38"/>
      <c r="AN590" s="38"/>
      <c r="AO590" s="38"/>
      <c r="AP590" s="38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  <c r="BA590" s="38"/>
      <c r="BB590" s="38"/>
      <c r="BC590" s="38"/>
      <c r="BD590" s="38"/>
      <c r="BE590" s="38"/>
      <c r="BF590" s="38"/>
      <c r="BG590" s="38"/>
      <c r="BH590" s="38"/>
      <c r="BI590" s="38"/>
      <c r="BJ590" s="38"/>
      <c r="BK590" s="38"/>
      <c r="BL590" s="38"/>
      <c r="BM590" s="38"/>
      <c r="BN590" s="38"/>
      <c r="BO590" s="38"/>
      <c r="BP590" s="38"/>
      <c r="BQ590" s="38"/>
      <c r="BR590" s="38"/>
    </row>
    <row r="591" spans="1:70">
      <c r="A591" s="38"/>
      <c r="B591" s="38"/>
      <c r="C591" s="43"/>
      <c r="D591" s="38"/>
      <c r="E591" s="38"/>
      <c r="F591" s="43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8"/>
      <c r="AJ591" s="38"/>
      <c r="AK591" s="38"/>
      <c r="AL591" s="38"/>
      <c r="AM591" s="38"/>
      <c r="AN591" s="38"/>
      <c r="AO591" s="38"/>
      <c r="AP591" s="38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  <c r="BA591" s="38"/>
      <c r="BB591" s="38"/>
      <c r="BC591" s="38"/>
      <c r="BD591" s="38"/>
      <c r="BE591" s="38"/>
      <c r="BF591" s="38"/>
      <c r="BG591" s="38"/>
      <c r="BH591" s="38"/>
      <c r="BI591" s="38"/>
      <c r="BJ591" s="38"/>
      <c r="BK591" s="38"/>
      <c r="BL591" s="38"/>
      <c r="BM591" s="38"/>
      <c r="BN591" s="38"/>
      <c r="BO591" s="38"/>
      <c r="BP591" s="38"/>
      <c r="BQ591" s="38"/>
      <c r="BR591" s="38"/>
    </row>
    <row r="592" spans="1:70">
      <c r="A592" s="38"/>
      <c r="B592" s="38"/>
      <c r="C592" s="43"/>
      <c r="D592" s="38"/>
      <c r="E592" s="38"/>
      <c r="F592" s="43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8"/>
      <c r="AJ592" s="38"/>
      <c r="AK592" s="38"/>
      <c r="AL592" s="38"/>
      <c r="AM592" s="38"/>
      <c r="AN592" s="38"/>
      <c r="AO592" s="38"/>
      <c r="AP592" s="38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  <c r="BA592" s="38"/>
      <c r="BB592" s="38"/>
      <c r="BC592" s="38"/>
      <c r="BD592" s="38"/>
      <c r="BE592" s="38"/>
      <c r="BF592" s="38"/>
      <c r="BG592" s="38"/>
      <c r="BH592" s="38"/>
      <c r="BI592" s="38"/>
      <c r="BJ592" s="38"/>
      <c r="BK592" s="38"/>
      <c r="BL592" s="38"/>
      <c r="BM592" s="38"/>
      <c r="BN592" s="38"/>
      <c r="BO592" s="38"/>
      <c r="BP592" s="38"/>
      <c r="BQ592" s="38"/>
      <c r="BR592" s="38"/>
    </row>
    <row r="593" spans="1:70">
      <c r="A593" s="38"/>
      <c r="B593" s="38"/>
      <c r="C593" s="43"/>
      <c r="D593" s="38"/>
      <c r="E593" s="38"/>
      <c r="F593" s="43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8"/>
      <c r="AJ593" s="38"/>
      <c r="AK593" s="38"/>
      <c r="AL593" s="38"/>
      <c r="AM593" s="38"/>
      <c r="AN593" s="38"/>
      <c r="AO593" s="38"/>
      <c r="AP593" s="38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  <c r="BA593" s="38"/>
      <c r="BB593" s="38"/>
      <c r="BC593" s="38"/>
      <c r="BD593" s="38"/>
      <c r="BE593" s="38"/>
      <c r="BF593" s="38"/>
      <c r="BG593" s="38"/>
      <c r="BH593" s="38"/>
      <c r="BI593" s="38"/>
      <c r="BJ593" s="38"/>
      <c r="BK593" s="38"/>
      <c r="BL593" s="38"/>
      <c r="BM593" s="38"/>
      <c r="BN593" s="38"/>
      <c r="BO593" s="38"/>
      <c r="BP593" s="38"/>
      <c r="BQ593" s="38"/>
      <c r="BR593" s="38"/>
    </row>
    <row r="594" spans="1:70">
      <c r="A594" s="38"/>
      <c r="B594" s="38"/>
      <c r="C594" s="43"/>
      <c r="D594" s="38"/>
      <c r="E594" s="38"/>
      <c r="F594" s="43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8"/>
      <c r="AJ594" s="38"/>
      <c r="AK594" s="38"/>
      <c r="AL594" s="38"/>
      <c r="AM594" s="38"/>
      <c r="AN594" s="38"/>
      <c r="AO594" s="38"/>
      <c r="AP594" s="38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  <c r="BA594" s="38"/>
      <c r="BB594" s="38"/>
      <c r="BC594" s="38"/>
      <c r="BD594" s="38"/>
      <c r="BE594" s="38"/>
      <c r="BF594" s="38"/>
      <c r="BG594" s="38"/>
      <c r="BH594" s="38"/>
      <c r="BI594" s="38"/>
      <c r="BJ594" s="38"/>
      <c r="BK594" s="38"/>
      <c r="BL594" s="38"/>
      <c r="BM594" s="38"/>
      <c r="BN594" s="38"/>
      <c r="BO594" s="38"/>
      <c r="BP594" s="38"/>
      <c r="BQ594" s="38"/>
      <c r="BR594" s="38"/>
    </row>
    <row r="595" spans="1:70">
      <c r="A595" s="38"/>
      <c r="B595" s="38"/>
      <c r="C595" s="43"/>
      <c r="D595" s="38"/>
      <c r="E595" s="38"/>
      <c r="F595" s="43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8"/>
      <c r="AJ595" s="38"/>
      <c r="AK595" s="38"/>
      <c r="AL595" s="38"/>
      <c r="AM595" s="38"/>
      <c r="AN595" s="38"/>
      <c r="AO595" s="38"/>
      <c r="AP595" s="38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  <c r="BA595" s="38"/>
      <c r="BB595" s="38"/>
      <c r="BC595" s="38"/>
      <c r="BD595" s="38"/>
      <c r="BE595" s="38"/>
      <c r="BF595" s="38"/>
      <c r="BG595" s="38"/>
      <c r="BH595" s="38"/>
      <c r="BI595" s="38"/>
      <c r="BJ595" s="38"/>
      <c r="BK595" s="38"/>
      <c r="BL595" s="38"/>
      <c r="BM595" s="38"/>
      <c r="BN595" s="38"/>
      <c r="BO595" s="38"/>
      <c r="BP595" s="38"/>
      <c r="BQ595" s="38"/>
      <c r="BR595" s="38"/>
    </row>
    <row r="596" spans="1:70">
      <c r="A596" s="38"/>
      <c r="B596" s="38"/>
      <c r="C596" s="43"/>
      <c r="D596" s="38"/>
      <c r="E596" s="38"/>
      <c r="F596" s="43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8"/>
      <c r="AJ596" s="38"/>
      <c r="AK596" s="38"/>
      <c r="AL596" s="38"/>
      <c r="AM596" s="38"/>
      <c r="AN596" s="38"/>
      <c r="AO596" s="38"/>
      <c r="AP596" s="38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  <c r="BA596" s="38"/>
      <c r="BB596" s="38"/>
      <c r="BC596" s="38"/>
      <c r="BD596" s="38"/>
      <c r="BE596" s="38"/>
      <c r="BF596" s="38"/>
      <c r="BG596" s="38"/>
      <c r="BH596" s="38"/>
      <c r="BI596" s="38"/>
      <c r="BJ596" s="38"/>
      <c r="BK596" s="38"/>
      <c r="BL596" s="38"/>
      <c r="BM596" s="38"/>
      <c r="BN596" s="38"/>
      <c r="BO596" s="38"/>
      <c r="BP596" s="38"/>
      <c r="BQ596" s="38"/>
      <c r="BR596" s="38"/>
    </row>
    <row r="597" spans="1:70">
      <c r="A597" s="38"/>
      <c r="B597" s="38"/>
      <c r="C597" s="43"/>
      <c r="D597" s="38"/>
      <c r="E597" s="38"/>
      <c r="F597" s="43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8"/>
      <c r="AJ597" s="38"/>
      <c r="AK597" s="38"/>
      <c r="AL597" s="38"/>
      <c r="AM597" s="38"/>
      <c r="AN597" s="38"/>
      <c r="AO597" s="38"/>
      <c r="AP597" s="38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  <c r="BA597" s="38"/>
      <c r="BB597" s="38"/>
      <c r="BC597" s="38"/>
      <c r="BD597" s="38"/>
      <c r="BE597" s="38"/>
      <c r="BF597" s="38"/>
      <c r="BG597" s="38"/>
      <c r="BH597" s="38"/>
      <c r="BI597" s="38"/>
      <c r="BJ597" s="38"/>
      <c r="BK597" s="38"/>
      <c r="BL597" s="38"/>
      <c r="BM597" s="38"/>
      <c r="BN597" s="38"/>
      <c r="BO597" s="38"/>
      <c r="BP597" s="38"/>
      <c r="BQ597" s="38"/>
      <c r="BR597" s="38"/>
    </row>
    <row r="598" spans="1:70">
      <c r="A598" s="38"/>
      <c r="B598" s="38"/>
      <c r="C598" s="43"/>
      <c r="D598" s="38"/>
      <c r="E598" s="38"/>
      <c r="F598" s="43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8"/>
      <c r="AJ598" s="38"/>
      <c r="AK598" s="38"/>
      <c r="AL598" s="38"/>
      <c r="AM598" s="38"/>
      <c r="AN598" s="38"/>
      <c r="AO598" s="38"/>
      <c r="AP598" s="38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  <c r="BA598" s="38"/>
      <c r="BB598" s="38"/>
      <c r="BC598" s="38"/>
      <c r="BD598" s="38"/>
      <c r="BE598" s="38"/>
      <c r="BF598" s="38"/>
      <c r="BG598" s="38"/>
      <c r="BH598" s="38"/>
      <c r="BI598" s="38"/>
      <c r="BJ598" s="38"/>
      <c r="BK598" s="38"/>
      <c r="BL598" s="38"/>
      <c r="BM598" s="38"/>
      <c r="BN598" s="38"/>
      <c r="BO598" s="38"/>
      <c r="BP598" s="38"/>
      <c r="BQ598" s="38"/>
      <c r="BR598" s="38"/>
    </row>
    <row r="599" spans="1:70">
      <c r="A599" s="38"/>
      <c r="B599" s="38"/>
      <c r="C599" s="43"/>
      <c r="D599" s="38"/>
      <c r="E599" s="38"/>
      <c r="F599" s="43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8"/>
      <c r="AJ599" s="38"/>
      <c r="AK599" s="38"/>
      <c r="AL599" s="38"/>
      <c r="AM599" s="38"/>
      <c r="AN599" s="38"/>
      <c r="AO599" s="38"/>
      <c r="AP599" s="38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  <c r="BA599" s="38"/>
      <c r="BB599" s="38"/>
      <c r="BC599" s="38"/>
      <c r="BD599" s="38"/>
      <c r="BE599" s="38"/>
      <c r="BF599" s="38"/>
      <c r="BG599" s="38"/>
      <c r="BH599" s="38"/>
      <c r="BI599" s="38"/>
      <c r="BJ599" s="38"/>
      <c r="BK599" s="38"/>
      <c r="BL599" s="38"/>
      <c r="BM599" s="38"/>
      <c r="BN599" s="38"/>
      <c r="BO599" s="38"/>
      <c r="BP599" s="38"/>
      <c r="BQ599" s="38"/>
      <c r="BR599" s="38"/>
    </row>
    <row r="600" spans="1:70">
      <c r="A600" s="38"/>
      <c r="B600" s="38"/>
      <c r="C600" s="43"/>
      <c r="D600" s="38"/>
      <c r="E600" s="38"/>
      <c r="F600" s="43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8"/>
      <c r="AJ600" s="38"/>
      <c r="AK600" s="38"/>
      <c r="AL600" s="38"/>
      <c r="AM600" s="38"/>
      <c r="AN600" s="38"/>
      <c r="AO600" s="38"/>
      <c r="AP600" s="38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  <c r="BA600" s="38"/>
      <c r="BB600" s="38"/>
      <c r="BC600" s="38"/>
      <c r="BD600" s="38"/>
      <c r="BE600" s="38"/>
      <c r="BF600" s="38"/>
      <c r="BG600" s="38"/>
      <c r="BH600" s="38"/>
      <c r="BI600" s="38"/>
      <c r="BJ600" s="38"/>
      <c r="BK600" s="38"/>
      <c r="BL600" s="38"/>
      <c r="BM600" s="38"/>
      <c r="BN600" s="38"/>
      <c r="BO600" s="38"/>
      <c r="BP600" s="38"/>
      <c r="BQ600" s="38"/>
      <c r="BR600" s="38"/>
    </row>
    <row r="601" spans="1:70">
      <c r="A601" s="38"/>
      <c r="B601" s="38"/>
      <c r="C601" s="43"/>
      <c r="D601" s="38"/>
      <c r="E601" s="38"/>
      <c r="F601" s="43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8"/>
      <c r="AJ601" s="38"/>
      <c r="AK601" s="38"/>
      <c r="AL601" s="38"/>
      <c r="AM601" s="38"/>
      <c r="AN601" s="38"/>
      <c r="AO601" s="38"/>
      <c r="AP601" s="38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  <c r="BA601" s="38"/>
      <c r="BB601" s="38"/>
      <c r="BC601" s="38"/>
      <c r="BD601" s="38"/>
      <c r="BE601" s="38"/>
      <c r="BF601" s="38"/>
      <c r="BG601" s="38"/>
      <c r="BH601" s="38"/>
      <c r="BI601" s="38"/>
      <c r="BJ601" s="38"/>
      <c r="BK601" s="38"/>
      <c r="BL601" s="38"/>
      <c r="BM601" s="38"/>
      <c r="BN601" s="38"/>
      <c r="BO601" s="38"/>
      <c r="BP601" s="38"/>
      <c r="BQ601" s="38"/>
      <c r="BR601" s="38"/>
    </row>
    <row r="602" spans="1:70">
      <c r="A602" s="38"/>
      <c r="B602" s="38"/>
      <c r="C602" s="43"/>
      <c r="D602" s="38"/>
      <c r="E602" s="38"/>
      <c r="F602" s="43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8"/>
      <c r="AJ602" s="38"/>
      <c r="AK602" s="38"/>
      <c r="AL602" s="38"/>
      <c r="AM602" s="38"/>
      <c r="AN602" s="38"/>
      <c r="AO602" s="38"/>
      <c r="AP602" s="38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  <c r="BA602" s="38"/>
      <c r="BB602" s="38"/>
      <c r="BC602" s="38"/>
      <c r="BD602" s="38"/>
      <c r="BE602" s="38"/>
      <c r="BF602" s="38"/>
      <c r="BG602" s="38"/>
      <c r="BH602" s="38"/>
      <c r="BI602" s="38"/>
      <c r="BJ602" s="38"/>
      <c r="BK602" s="38"/>
      <c r="BL602" s="38"/>
      <c r="BM602" s="38"/>
      <c r="BN602" s="38"/>
      <c r="BO602" s="38"/>
      <c r="BP602" s="38"/>
      <c r="BQ602" s="38"/>
      <c r="BR602" s="38"/>
    </row>
    <row r="603" spans="1:70">
      <c r="A603" s="38"/>
      <c r="B603" s="38"/>
      <c r="C603" s="43"/>
      <c r="D603" s="38"/>
      <c r="E603" s="38"/>
      <c r="F603" s="43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8"/>
      <c r="AJ603" s="38"/>
      <c r="AK603" s="38"/>
      <c r="AL603" s="38"/>
      <c r="AM603" s="38"/>
      <c r="AN603" s="38"/>
      <c r="AO603" s="38"/>
      <c r="AP603" s="38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  <c r="BA603" s="38"/>
      <c r="BB603" s="38"/>
      <c r="BC603" s="38"/>
      <c r="BD603" s="38"/>
      <c r="BE603" s="38"/>
      <c r="BF603" s="38"/>
      <c r="BG603" s="38"/>
      <c r="BH603" s="38"/>
      <c r="BI603" s="38"/>
      <c r="BJ603" s="38"/>
      <c r="BK603" s="38"/>
      <c r="BL603" s="38"/>
      <c r="BM603" s="38"/>
      <c r="BN603" s="38"/>
      <c r="BO603" s="38"/>
      <c r="BP603" s="38"/>
      <c r="BQ603" s="38"/>
      <c r="BR603" s="38"/>
    </row>
    <row r="604" spans="1:70">
      <c r="A604" s="38"/>
      <c r="B604" s="38"/>
      <c r="C604" s="43"/>
      <c r="D604" s="38"/>
      <c r="E604" s="38"/>
      <c r="F604" s="43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8"/>
      <c r="AJ604" s="38"/>
      <c r="AK604" s="38"/>
      <c r="AL604" s="38"/>
      <c r="AM604" s="38"/>
      <c r="AN604" s="38"/>
      <c r="AO604" s="38"/>
      <c r="AP604" s="38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  <c r="BA604" s="38"/>
      <c r="BB604" s="38"/>
      <c r="BC604" s="38"/>
      <c r="BD604" s="38"/>
      <c r="BE604" s="38"/>
      <c r="BF604" s="38"/>
      <c r="BG604" s="38"/>
      <c r="BH604" s="38"/>
      <c r="BI604" s="38"/>
      <c r="BJ604" s="38"/>
      <c r="BK604" s="38"/>
      <c r="BL604" s="38"/>
      <c r="BM604" s="38"/>
      <c r="BN604" s="38"/>
      <c r="BO604" s="38"/>
      <c r="BP604" s="38"/>
      <c r="BQ604" s="38"/>
      <c r="BR604" s="38"/>
    </row>
    <row r="605" spans="1:70">
      <c r="A605" s="38"/>
      <c r="B605" s="38"/>
      <c r="C605" s="43"/>
      <c r="D605" s="38"/>
      <c r="E605" s="38"/>
      <c r="F605" s="43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8"/>
      <c r="AJ605" s="38"/>
      <c r="AK605" s="38"/>
      <c r="AL605" s="38"/>
      <c r="AM605" s="38"/>
      <c r="AN605" s="38"/>
      <c r="AO605" s="38"/>
      <c r="AP605" s="38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  <c r="BA605" s="38"/>
      <c r="BB605" s="38"/>
      <c r="BC605" s="38"/>
      <c r="BD605" s="38"/>
      <c r="BE605" s="38"/>
      <c r="BF605" s="38"/>
      <c r="BG605" s="38"/>
      <c r="BH605" s="38"/>
      <c r="BI605" s="38"/>
      <c r="BJ605" s="38"/>
      <c r="BK605" s="38"/>
      <c r="BL605" s="38"/>
      <c r="BM605" s="38"/>
      <c r="BN605" s="38"/>
      <c r="BO605" s="38"/>
      <c r="BP605" s="38"/>
      <c r="BQ605" s="38"/>
      <c r="BR605" s="38"/>
    </row>
    <row r="606" spans="1:70">
      <c r="A606" s="38"/>
      <c r="B606" s="38"/>
      <c r="C606" s="43"/>
      <c r="D606" s="38"/>
      <c r="E606" s="38"/>
      <c r="F606" s="43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8"/>
      <c r="AJ606" s="38"/>
      <c r="AK606" s="38"/>
      <c r="AL606" s="38"/>
      <c r="AM606" s="38"/>
      <c r="AN606" s="38"/>
      <c r="AO606" s="38"/>
      <c r="AP606" s="38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  <c r="BA606" s="38"/>
      <c r="BB606" s="38"/>
      <c r="BC606" s="38"/>
      <c r="BD606" s="38"/>
      <c r="BE606" s="38"/>
      <c r="BF606" s="38"/>
      <c r="BG606" s="38"/>
      <c r="BH606" s="38"/>
      <c r="BI606" s="38"/>
      <c r="BJ606" s="38"/>
      <c r="BK606" s="38"/>
      <c r="BL606" s="38"/>
      <c r="BM606" s="38"/>
      <c r="BN606" s="38"/>
      <c r="BO606" s="38"/>
      <c r="BP606" s="38"/>
      <c r="BQ606" s="38"/>
      <c r="BR606" s="38"/>
    </row>
    <row r="607" spans="1:70">
      <c r="A607" s="38"/>
      <c r="B607" s="38"/>
      <c r="C607" s="43"/>
      <c r="D607" s="38"/>
      <c r="E607" s="38"/>
      <c r="F607" s="43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8"/>
      <c r="AJ607" s="38"/>
      <c r="AK607" s="38"/>
      <c r="AL607" s="38"/>
      <c r="AM607" s="38"/>
      <c r="AN607" s="38"/>
      <c r="AO607" s="38"/>
      <c r="AP607" s="38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  <c r="BA607" s="38"/>
      <c r="BB607" s="38"/>
      <c r="BC607" s="38"/>
      <c r="BD607" s="38"/>
      <c r="BE607" s="38"/>
      <c r="BF607" s="38"/>
      <c r="BG607" s="38"/>
      <c r="BH607" s="38"/>
      <c r="BI607" s="38"/>
      <c r="BJ607" s="38"/>
      <c r="BK607" s="38"/>
      <c r="BL607" s="38"/>
      <c r="BM607" s="38"/>
      <c r="BN607" s="38"/>
      <c r="BO607" s="38"/>
      <c r="BP607" s="38"/>
      <c r="BQ607" s="38"/>
      <c r="BR607" s="38"/>
    </row>
    <row r="608" spans="1:70">
      <c r="A608" s="38"/>
      <c r="B608" s="38"/>
      <c r="C608" s="43"/>
      <c r="D608" s="38"/>
      <c r="E608" s="38"/>
      <c r="F608" s="43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8"/>
      <c r="AJ608" s="38"/>
      <c r="AK608" s="38"/>
      <c r="AL608" s="38"/>
      <c r="AM608" s="38"/>
      <c r="AN608" s="38"/>
      <c r="AO608" s="38"/>
      <c r="AP608" s="38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  <c r="BA608" s="38"/>
      <c r="BB608" s="38"/>
      <c r="BC608" s="38"/>
      <c r="BD608" s="38"/>
      <c r="BE608" s="38"/>
      <c r="BF608" s="38"/>
      <c r="BG608" s="38"/>
      <c r="BH608" s="38"/>
      <c r="BI608" s="38"/>
      <c r="BJ608" s="38"/>
      <c r="BK608" s="38"/>
      <c r="BL608" s="38"/>
      <c r="BM608" s="38"/>
      <c r="BN608" s="38"/>
      <c r="BO608" s="38"/>
      <c r="BP608" s="38"/>
      <c r="BQ608" s="38"/>
      <c r="BR608" s="38"/>
    </row>
    <row r="609" spans="1:70">
      <c r="A609" s="38"/>
      <c r="B609" s="38"/>
      <c r="C609" s="43"/>
      <c r="D609" s="38"/>
      <c r="E609" s="38"/>
      <c r="F609" s="43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8"/>
      <c r="AJ609" s="38"/>
      <c r="AK609" s="38"/>
      <c r="AL609" s="38"/>
      <c r="AM609" s="38"/>
      <c r="AN609" s="38"/>
      <c r="AO609" s="38"/>
      <c r="AP609" s="38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  <c r="BA609" s="38"/>
      <c r="BB609" s="38"/>
      <c r="BC609" s="38"/>
      <c r="BD609" s="38"/>
      <c r="BE609" s="38"/>
      <c r="BF609" s="38"/>
      <c r="BG609" s="38"/>
      <c r="BH609" s="38"/>
      <c r="BI609" s="38"/>
      <c r="BJ609" s="38"/>
      <c r="BK609" s="38"/>
      <c r="BL609" s="38"/>
      <c r="BM609" s="38"/>
      <c r="BN609" s="38"/>
      <c r="BO609" s="38"/>
      <c r="BP609" s="38"/>
      <c r="BQ609" s="38"/>
      <c r="BR609" s="38"/>
    </row>
    <row r="610" spans="1:70">
      <c r="A610" s="38"/>
      <c r="B610" s="38"/>
      <c r="C610" s="43"/>
      <c r="D610" s="38"/>
      <c r="E610" s="38"/>
      <c r="F610" s="43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8"/>
      <c r="AJ610" s="38"/>
      <c r="AK610" s="38"/>
      <c r="AL610" s="38"/>
      <c r="AM610" s="38"/>
      <c r="AN610" s="38"/>
      <c r="AO610" s="38"/>
      <c r="AP610" s="38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  <c r="BA610" s="38"/>
      <c r="BB610" s="38"/>
      <c r="BC610" s="38"/>
      <c r="BD610" s="38"/>
      <c r="BE610" s="38"/>
      <c r="BF610" s="38"/>
      <c r="BG610" s="38"/>
      <c r="BH610" s="38"/>
      <c r="BI610" s="38"/>
      <c r="BJ610" s="38"/>
      <c r="BK610" s="38"/>
      <c r="BL610" s="38"/>
      <c r="BM610" s="38"/>
      <c r="BN610" s="38"/>
      <c r="BO610" s="38"/>
      <c r="BP610" s="38"/>
      <c r="BQ610" s="38"/>
      <c r="BR610" s="38"/>
    </row>
    <row r="611" spans="1:70">
      <c r="A611" s="38"/>
      <c r="B611" s="38"/>
      <c r="C611" s="43"/>
      <c r="D611" s="38"/>
      <c r="E611" s="38"/>
      <c r="F611" s="43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8"/>
      <c r="AJ611" s="38"/>
      <c r="AK611" s="38"/>
      <c r="AL611" s="38"/>
      <c r="AM611" s="38"/>
      <c r="AN611" s="38"/>
      <c r="AO611" s="38"/>
      <c r="AP611" s="38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  <c r="BA611" s="38"/>
      <c r="BB611" s="38"/>
      <c r="BC611" s="38"/>
      <c r="BD611" s="38"/>
      <c r="BE611" s="38"/>
      <c r="BF611" s="38"/>
      <c r="BG611" s="38"/>
      <c r="BH611" s="38"/>
      <c r="BI611" s="38"/>
      <c r="BJ611" s="38"/>
      <c r="BK611" s="38"/>
      <c r="BL611" s="38"/>
      <c r="BM611" s="38"/>
      <c r="BN611" s="38"/>
      <c r="BO611" s="38"/>
      <c r="BP611" s="38"/>
      <c r="BQ611" s="38"/>
      <c r="BR611" s="38"/>
    </row>
    <row r="612" spans="1:70">
      <c r="A612" s="38"/>
      <c r="B612" s="38"/>
      <c r="C612" s="43"/>
      <c r="D612" s="38"/>
      <c r="E612" s="38"/>
      <c r="F612" s="43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8"/>
      <c r="AJ612" s="38"/>
      <c r="AK612" s="38"/>
      <c r="AL612" s="38"/>
      <c r="AM612" s="38"/>
      <c r="AN612" s="38"/>
      <c r="AO612" s="38"/>
      <c r="AP612" s="38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  <c r="BA612" s="38"/>
      <c r="BB612" s="38"/>
      <c r="BC612" s="38"/>
      <c r="BD612" s="38"/>
      <c r="BE612" s="38"/>
      <c r="BF612" s="38"/>
      <c r="BG612" s="38"/>
      <c r="BH612" s="38"/>
      <c r="BI612" s="38"/>
      <c r="BJ612" s="38"/>
      <c r="BK612" s="38"/>
      <c r="BL612" s="38"/>
      <c r="BM612" s="38"/>
      <c r="BN612" s="38"/>
      <c r="BO612" s="38"/>
      <c r="BP612" s="38"/>
      <c r="BQ612" s="38"/>
      <c r="BR612" s="38"/>
    </row>
    <row r="613" spans="1:70">
      <c r="A613" s="38"/>
      <c r="B613" s="38"/>
      <c r="C613" s="43"/>
      <c r="D613" s="38"/>
      <c r="E613" s="38"/>
      <c r="F613" s="43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8"/>
      <c r="AJ613" s="38"/>
      <c r="AK613" s="38"/>
      <c r="AL613" s="38"/>
      <c r="AM613" s="38"/>
      <c r="AN613" s="38"/>
      <c r="AO613" s="38"/>
      <c r="AP613" s="38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  <c r="BA613" s="38"/>
      <c r="BB613" s="38"/>
      <c r="BC613" s="38"/>
      <c r="BD613" s="38"/>
      <c r="BE613" s="38"/>
      <c r="BF613" s="38"/>
      <c r="BG613" s="38"/>
      <c r="BH613" s="38"/>
      <c r="BI613" s="38"/>
      <c r="BJ613" s="38"/>
      <c r="BK613" s="38"/>
      <c r="BL613" s="38"/>
      <c r="BM613" s="38"/>
      <c r="BN613" s="38"/>
      <c r="BO613" s="38"/>
      <c r="BP613" s="38"/>
      <c r="BQ613" s="38"/>
      <c r="BR613" s="38"/>
    </row>
    <row r="614" spans="1:70">
      <c r="A614" s="38"/>
      <c r="B614" s="38"/>
      <c r="C614" s="43"/>
      <c r="D614" s="38"/>
      <c r="E614" s="38"/>
      <c r="F614" s="43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8"/>
      <c r="AJ614" s="38"/>
      <c r="AK614" s="38"/>
      <c r="AL614" s="38"/>
      <c r="AM614" s="38"/>
      <c r="AN614" s="38"/>
      <c r="AO614" s="38"/>
      <c r="AP614" s="38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  <c r="BA614" s="38"/>
      <c r="BB614" s="38"/>
      <c r="BC614" s="38"/>
      <c r="BD614" s="38"/>
      <c r="BE614" s="38"/>
      <c r="BF614" s="38"/>
      <c r="BG614" s="38"/>
      <c r="BH614" s="38"/>
      <c r="BI614" s="38"/>
      <c r="BJ614" s="38"/>
      <c r="BK614" s="38"/>
      <c r="BL614" s="38"/>
      <c r="BM614" s="38"/>
      <c r="BN614" s="38"/>
      <c r="BO614" s="38"/>
      <c r="BP614" s="38"/>
      <c r="BQ614" s="38"/>
      <c r="BR614" s="38"/>
    </row>
    <row r="615" spans="1:70">
      <c r="A615" s="38"/>
      <c r="B615" s="38"/>
      <c r="C615" s="43"/>
      <c r="D615" s="38"/>
      <c r="E615" s="38"/>
      <c r="F615" s="43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8"/>
      <c r="AJ615" s="38"/>
      <c r="AK615" s="38"/>
      <c r="AL615" s="38"/>
      <c r="AM615" s="38"/>
      <c r="AN615" s="38"/>
      <c r="AO615" s="38"/>
      <c r="AP615" s="38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  <c r="BA615" s="38"/>
      <c r="BB615" s="38"/>
      <c r="BC615" s="38"/>
      <c r="BD615" s="38"/>
      <c r="BE615" s="38"/>
      <c r="BF615" s="38"/>
      <c r="BG615" s="38"/>
      <c r="BH615" s="38"/>
      <c r="BI615" s="38"/>
      <c r="BJ615" s="38"/>
      <c r="BK615" s="38"/>
      <c r="BL615" s="38"/>
      <c r="BM615" s="38"/>
      <c r="BN615" s="38"/>
      <c r="BO615" s="38"/>
      <c r="BP615" s="38"/>
      <c r="BQ615" s="38"/>
      <c r="BR615" s="38"/>
    </row>
    <row r="616" spans="1:70">
      <c r="A616" s="38"/>
      <c r="B616" s="38"/>
      <c r="C616" s="43"/>
      <c r="D616" s="38"/>
      <c r="E616" s="38"/>
      <c r="F616" s="43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8"/>
      <c r="AJ616" s="38"/>
      <c r="AK616" s="38"/>
      <c r="AL616" s="38"/>
      <c r="AM616" s="38"/>
      <c r="AN616" s="38"/>
      <c r="AO616" s="38"/>
      <c r="AP616" s="38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  <c r="BA616" s="38"/>
      <c r="BB616" s="38"/>
      <c r="BC616" s="38"/>
      <c r="BD616" s="38"/>
      <c r="BE616" s="38"/>
      <c r="BF616" s="38"/>
      <c r="BG616" s="38"/>
      <c r="BH616" s="38"/>
      <c r="BI616" s="38"/>
      <c r="BJ616" s="38"/>
      <c r="BK616" s="38"/>
      <c r="BL616" s="38"/>
      <c r="BM616" s="38"/>
      <c r="BN616" s="38"/>
      <c r="BO616" s="38"/>
      <c r="BP616" s="38"/>
      <c r="BQ616" s="38"/>
      <c r="BR616" s="38"/>
    </row>
    <row r="617" spans="1:70">
      <c r="A617" s="38"/>
      <c r="B617" s="38"/>
      <c r="C617" s="43"/>
      <c r="D617" s="38"/>
      <c r="E617" s="38"/>
      <c r="F617" s="43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8"/>
      <c r="AJ617" s="38"/>
      <c r="AK617" s="38"/>
      <c r="AL617" s="38"/>
      <c r="AM617" s="38"/>
      <c r="AN617" s="38"/>
      <c r="AO617" s="38"/>
      <c r="AP617" s="38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  <c r="BA617" s="38"/>
      <c r="BB617" s="38"/>
      <c r="BC617" s="38"/>
      <c r="BD617" s="38"/>
      <c r="BE617" s="38"/>
      <c r="BF617" s="38"/>
      <c r="BG617" s="38"/>
      <c r="BH617" s="38"/>
      <c r="BI617" s="38"/>
      <c r="BJ617" s="38"/>
      <c r="BK617" s="38"/>
      <c r="BL617" s="38"/>
      <c r="BM617" s="38"/>
      <c r="BN617" s="38"/>
      <c r="BO617" s="38"/>
      <c r="BP617" s="38"/>
      <c r="BQ617" s="38"/>
      <c r="BR617" s="38"/>
    </row>
    <row r="618" spans="1:70">
      <c r="A618" s="38"/>
      <c r="B618" s="38"/>
      <c r="C618" s="43"/>
      <c r="D618" s="38"/>
      <c r="E618" s="38"/>
      <c r="F618" s="43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8"/>
      <c r="AJ618" s="38"/>
      <c r="AK618" s="38"/>
      <c r="AL618" s="38"/>
      <c r="AM618" s="38"/>
      <c r="AN618" s="38"/>
      <c r="AO618" s="38"/>
      <c r="AP618" s="38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  <c r="BA618" s="38"/>
      <c r="BB618" s="38"/>
      <c r="BC618" s="38"/>
      <c r="BD618" s="38"/>
      <c r="BE618" s="38"/>
      <c r="BF618" s="38"/>
      <c r="BG618" s="38"/>
      <c r="BH618" s="38"/>
      <c r="BI618" s="38"/>
      <c r="BJ618" s="38"/>
      <c r="BK618" s="38"/>
      <c r="BL618" s="38"/>
      <c r="BM618" s="38"/>
      <c r="BN618" s="38"/>
      <c r="BO618" s="38"/>
      <c r="BP618" s="38"/>
      <c r="BQ618" s="38"/>
      <c r="BR618" s="38"/>
    </row>
    <row r="619" spans="1:70">
      <c r="A619" s="38"/>
      <c r="B619" s="38"/>
      <c r="C619" s="43"/>
      <c r="D619" s="38"/>
      <c r="E619" s="38"/>
      <c r="F619" s="43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8"/>
      <c r="AJ619" s="38"/>
      <c r="AK619" s="38"/>
      <c r="AL619" s="38"/>
      <c r="AM619" s="38"/>
      <c r="AN619" s="38"/>
      <c r="AO619" s="38"/>
      <c r="AP619" s="38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  <c r="BA619" s="38"/>
      <c r="BB619" s="38"/>
      <c r="BC619" s="38"/>
      <c r="BD619" s="38"/>
      <c r="BE619" s="38"/>
      <c r="BF619" s="38"/>
      <c r="BG619" s="38"/>
      <c r="BH619" s="38"/>
      <c r="BI619" s="38"/>
      <c r="BJ619" s="38"/>
      <c r="BK619" s="38"/>
      <c r="BL619" s="38"/>
      <c r="BM619" s="38"/>
      <c r="BN619" s="38"/>
      <c r="BO619" s="38"/>
      <c r="BP619" s="38"/>
      <c r="BQ619" s="38"/>
      <c r="BR619" s="38"/>
    </row>
    <row r="620" spans="1:70">
      <c r="A620" s="38"/>
      <c r="B620" s="38"/>
      <c r="C620" s="43"/>
      <c r="D620" s="38"/>
      <c r="E620" s="38"/>
      <c r="F620" s="43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8"/>
      <c r="AJ620" s="38"/>
      <c r="AK620" s="38"/>
      <c r="AL620" s="38"/>
      <c r="AM620" s="38"/>
      <c r="AN620" s="38"/>
      <c r="AO620" s="38"/>
      <c r="AP620" s="38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  <c r="BA620" s="38"/>
      <c r="BB620" s="38"/>
      <c r="BC620" s="38"/>
      <c r="BD620" s="38"/>
      <c r="BE620" s="38"/>
      <c r="BF620" s="38"/>
      <c r="BG620" s="38"/>
      <c r="BH620" s="38"/>
      <c r="BI620" s="38"/>
      <c r="BJ620" s="38"/>
      <c r="BK620" s="38"/>
      <c r="BL620" s="38"/>
      <c r="BM620" s="38"/>
      <c r="BN620" s="38"/>
      <c r="BO620" s="38"/>
      <c r="BP620" s="38"/>
      <c r="BQ620" s="38"/>
      <c r="BR620" s="38"/>
    </row>
    <row r="621" spans="1:70">
      <c r="A621" s="38"/>
      <c r="B621" s="38"/>
      <c r="C621" s="43"/>
      <c r="D621" s="38"/>
      <c r="E621" s="38"/>
      <c r="F621" s="43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8"/>
      <c r="AJ621" s="38"/>
      <c r="AK621" s="38"/>
      <c r="AL621" s="38"/>
      <c r="AM621" s="38"/>
      <c r="AN621" s="38"/>
      <c r="AO621" s="38"/>
      <c r="AP621" s="38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  <c r="BA621" s="38"/>
      <c r="BB621" s="38"/>
      <c r="BC621" s="38"/>
      <c r="BD621" s="38"/>
      <c r="BE621" s="38"/>
      <c r="BF621" s="38"/>
      <c r="BG621" s="38"/>
      <c r="BH621" s="38"/>
      <c r="BI621" s="38"/>
      <c r="BJ621" s="38"/>
      <c r="BK621" s="38"/>
      <c r="BL621" s="38"/>
      <c r="BM621" s="38"/>
      <c r="BN621" s="38"/>
      <c r="BO621" s="38"/>
      <c r="BP621" s="38"/>
      <c r="BQ621" s="38"/>
      <c r="BR621" s="38"/>
    </row>
    <row r="622" spans="1:70">
      <c r="A622" s="38"/>
      <c r="B622" s="38"/>
      <c r="C622" s="43"/>
      <c r="D622" s="38"/>
      <c r="E622" s="38"/>
      <c r="F622" s="43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8"/>
      <c r="AJ622" s="38"/>
      <c r="AK622" s="38"/>
      <c r="AL622" s="38"/>
      <c r="AM622" s="38"/>
      <c r="AN622" s="38"/>
      <c r="AO622" s="38"/>
      <c r="AP622" s="38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  <c r="BA622" s="38"/>
      <c r="BB622" s="38"/>
      <c r="BC622" s="38"/>
      <c r="BD622" s="38"/>
      <c r="BE622" s="38"/>
      <c r="BF622" s="38"/>
      <c r="BG622" s="38"/>
      <c r="BH622" s="38"/>
      <c r="BI622" s="38"/>
      <c r="BJ622" s="38"/>
      <c r="BK622" s="38"/>
      <c r="BL622" s="38"/>
      <c r="BM622" s="38"/>
      <c r="BN622" s="38"/>
      <c r="BO622" s="38"/>
      <c r="BP622" s="38"/>
      <c r="BQ622" s="38"/>
      <c r="BR622" s="38"/>
    </row>
    <row r="623" spans="1:70">
      <c r="A623" s="38"/>
      <c r="B623" s="38"/>
      <c r="C623" s="43"/>
      <c r="D623" s="38"/>
      <c r="E623" s="38"/>
      <c r="F623" s="43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8"/>
      <c r="AJ623" s="38"/>
      <c r="AK623" s="38"/>
      <c r="AL623" s="38"/>
      <c r="AM623" s="38"/>
      <c r="AN623" s="38"/>
      <c r="AO623" s="38"/>
      <c r="AP623" s="38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  <c r="BA623" s="38"/>
      <c r="BB623" s="38"/>
      <c r="BC623" s="38"/>
      <c r="BD623" s="38"/>
      <c r="BE623" s="38"/>
      <c r="BF623" s="38"/>
      <c r="BG623" s="38"/>
      <c r="BH623" s="38"/>
      <c r="BI623" s="38"/>
      <c r="BJ623" s="38"/>
      <c r="BK623" s="38"/>
      <c r="BL623" s="38"/>
      <c r="BM623" s="38"/>
      <c r="BN623" s="38"/>
      <c r="BO623" s="38"/>
      <c r="BP623" s="38"/>
      <c r="BQ623" s="38"/>
      <c r="BR623" s="38"/>
    </row>
    <row r="624" spans="1:70">
      <c r="A624" s="38"/>
      <c r="B624" s="38"/>
      <c r="C624" s="43"/>
      <c r="D624" s="38"/>
      <c r="E624" s="38"/>
      <c r="F624" s="43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8"/>
      <c r="AJ624" s="38"/>
      <c r="AK624" s="38"/>
      <c r="AL624" s="38"/>
      <c r="AM624" s="38"/>
      <c r="AN624" s="38"/>
      <c r="AO624" s="38"/>
      <c r="AP624" s="38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  <c r="BA624" s="38"/>
      <c r="BB624" s="38"/>
      <c r="BC624" s="38"/>
      <c r="BD624" s="38"/>
      <c r="BE624" s="38"/>
      <c r="BF624" s="38"/>
      <c r="BG624" s="38"/>
      <c r="BH624" s="38"/>
      <c r="BI624" s="38"/>
      <c r="BJ624" s="38"/>
      <c r="BK624" s="38"/>
      <c r="BL624" s="38"/>
      <c r="BM624" s="38"/>
      <c r="BN624" s="38"/>
      <c r="BO624" s="38"/>
      <c r="BP624" s="38"/>
      <c r="BQ624" s="38"/>
      <c r="BR624" s="38"/>
    </row>
    <row r="625" spans="1:70">
      <c r="A625" s="38"/>
      <c r="B625" s="38"/>
      <c r="C625" s="43"/>
      <c r="D625" s="38"/>
      <c r="E625" s="38"/>
      <c r="F625" s="43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8"/>
      <c r="AJ625" s="38"/>
      <c r="AK625" s="38"/>
      <c r="AL625" s="38"/>
      <c r="AM625" s="38"/>
      <c r="AN625" s="38"/>
      <c r="AO625" s="38"/>
      <c r="AP625" s="38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  <c r="BA625" s="38"/>
      <c r="BB625" s="38"/>
      <c r="BC625" s="38"/>
      <c r="BD625" s="38"/>
      <c r="BE625" s="38"/>
      <c r="BF625" s="38"/>
      <c r="BG625" s="38"/>
      <c r="BH625" s="38"/>
      <c r="BI625" s="38"/>
      <c r="BJ625" s="38"/>
      <c r="BK625" s="38"/>
      <c r="BL625" s="38"/>
      <c r="BM625" s="38"/>
      <c r="BN625" s="38"/>
      <c r="BO625" s="38"/>
      <c r="BP625" s="38"/>
      <c r="BQ625" s="38"/>
      <c r="BR625" s="38"/>
    </row>
    <row r="626" spans="1:70">
      <c r="A626" s="38"/>
      <c r="B626" s="38"/>
      <c r="C626" s="43"/>
      <c r="D626" s="38"/>
      <c r="E626" s="38"/>
      <c r="F626" s="43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8"/>
      <c r="AJ626" s="38"/>
      <c r="AK626" s="38"/>
      <c r="AL626" s="38"/>
      <c r="AM626" s="38"/>
      <c r="AN626" s="38"/>
      <c r="AO626" s="38"/>
      <c r="AP626" s="38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  <c r="BA626" s="38"/>
      <c r="BB626" s="38"/>
      <c r="BC626" s="38"/>
      <c r="BD626" s="38"/>
      <c r="BE626" s="38"/>
      <c r="BF626" s="38"/>
      <c r="BG626" s="38"/>
      <c r="BH626" s="38"/>
      <c r="BI626" s="38"/>
      <c r="BJ626" s="38"/>
      <c r="BK626" s="38"/>
      <c r="BL626" s="38"/>
      <c r="BM626" s="38"/>
      <c r="BN626" s="38"/>
      <c r="BO626" s="38"/>
      <c r="BP626" s="38"/>
      <c r="BQ626" s="38"/>
      <c r="BR626" s="38"/>
    </row>
    <row r="627" spans="1:70">
      <c r="A627" s="38"/>
      <c r="B627" s="38"/>
      <c r="C627" s="43"/>
      <c r="D627" s="38"/>
      <c r="E627" s="38"/>
      <c r="F627" s="43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8"/>
      <c r="AJ627" s="38"/>
      <c r="AK627" s="38"/>
      <c r="AL627" s="38"/>
      <c r="AM627" s="38"/>
      <c r="AN627" s="38"/>
      <c r="AO627" s="38"/>
      <c r="AP627" s="38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  <c r="BA627" s="38"/>
      <c r="BB627" s="38"/>
      <c r="BC627" s="38"/>
      <c r="BD627" s="38"/>
      <c r="BE627" s="38"/>
      <c r="BF627" s="38"/>
      <c r="BG627" s="38"/>
      <c r="BH627" s="38"/>
      <c r="BI627" s="38"/>
      <c r="BJ627" s="38"/>
      <c r="BK627" s="38"/>
      <c r="BL627" s="38"/>
      <c r="BM627" s="38"/>
      <c r="BN627" s="38"/>
      <c r="BO627" s="38"/>
      <c r="BP627" s="38"/>
      <c r="BQ627" s="38"/>
      <c r="BR627" s="38"/>
    </row>
    <row r="628" spans="1:70">
      <c r="A628" s="38"/>
      <c r="B628" s="38"/>
      <c r="C628" s="43"/>
      <c r="D628" s="38"/>
      <c r="E628" s="38"/>
      <c r="F628" s="43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8"/>
      <c r="AJ628" s="38"/>
      <c r="AK628" s="38"/>
      <c r="AL628" s="38"/>
      <c r="AM628" s="38"/>
      <c r="AN628" s="38"/>
      <c r="AO628" s="38"/>
      <c r="AP628" s="38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  <c r="BA628" s="38"/>
      <c r="BB628" s="38"/>
      <c r="BC628" s="38"/>
      <c r="BD628" s="38"/>
      <c r="BE628" s="38"/>
      <c r="BF628" s="38"/>
      <c r="BG628" s="38"/>
      <c r="BH628" s="38"/>
      <c r="BI628" s="38"/>
      <c r="BJ628" s="38"/>
      <c r="BK628" s="38"/>
      <c r="BL628" s="38"/>
      <c r="BM628" s="38"/>
      <c r="BN628" s="38"/>
      <c r="BO628" s="38"/>
      <c r="BP628" s="38"/>
      <c r="BQ628" s="38"/>
      <c r="BR628" s="38"/>
    </row>
    <row r="629" spans="1:70">
      <c r="A629" s="38"/>
      <c r="B629" s="38"/>
      <c r="C629" s="43"/>
      <c r="D629" s="38"/>
      <c r="E629" s="38"/>
      <c r="F629" s="43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8"/>
      <c r="AJ629" s="38"/>
      <c r="AK629" s="38"/>
      <c r="AL629" s="38"/>
      <c r="AM629" s="38"/>
      <c r="AN629" s="38"/>
      <c r="AO629" s="38"/>
      <c r="AP629" s="38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  <c r="BA629" s="38"/>
      <c r="BB629" s="38"/>
      <c r="BC629" s="38"/>
      <c r="BD629" s="38"/>
      <c r="BE629" s="38"/>
      <c r="BF629" s="38"/>
      <c r="BG629" s="38"/>
      <c r="BH629" s="38"/>
      <c r="BI629" s="38"/>
      <c r="BJ629" s="38"/>
      <c r="BK629" s="38"/>
      <c r="BL629" s="38"/>
      <c r="BM629" s="38"/>
      <c r="BN629" s="38"/>
      <c r="BO629" s="38"/>
      <c r="BP629" s="38"/>
      <c r="BQ629" s="38"/>
      <c r="BR629" s="38"/>
    </row>
    <row r="630" spans="1:70">
      <c r="A630" s="38"/>
      <c r="B630" s="38"/>
      <c r="C630" s="43"/>
      <c r="D630" s="38"/>
      <c r="E630" s="38"/>
      <c r="F630" s="43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8"/>
      <c r="AJ630" s="38"/>
      <c r="AK630" s="38"/>
      <c r="AL630" s="38"/>
      <c r="AM630" s="38"/>
      <c r="AN630" s="38"/>
      <c r="AO630" s="38"/>
      <c r="AP630" s="38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  <c r="BA630" s="38"/>
      <c r="BB630" s="38"/>
      <c r="BC630" s="38"/>
      <c r="BD630" s="38"/>
      <c r="BE630" s="38"/>
      <c r="BF630" s="38"/>
      <c r="BG630" s="38"/>
      <c r="BH630" s="38"/>
      <c r="BI630" s="38"/>
      <c r="BJ630" s="38"/>
      <c r="BK630" s="38"/>
      <c r="BL630" s="38"/>
      <c r="BM630" s="38"/>
      <c r="BN630" s="38"/>
      <c r="BO630" s="38"/>
      <c r="BP630" s="38"/>
      <c r="BQ630" s="38"/>
      <c r="BR630" s="38"/>
    </row>
    <row r="631" spans="1:70">
      <c r="A631" s="38"/>
      <c r="B631" s="38"/>
      <c r="C631" s="43"/>
      <c r="D631" s="38"/>
      <c r="E631" s="38"/>
      <c r="F631" s="43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8"/>
      <c r="AJ631" s="38"/>
      <c r="AK631" s="38"/>
      <c r="AL631" s="38"/>
      <c r="AM631" s="38"/>
      <c r="AN631" s="38"/>
      <c r="AO631" s="38"/>
      <c r="AP631" s="38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  <c r="BA631" s="38"/>
      <c r="BB631" s="38"/>
      <c r="BC631" s="38"/>
      <c r="BD631" s="38"/>
      <c r="BE631" s="38"/>
      <c r="BF631" s="38"/>
      <c r="BG631" s="38"/>
      <c r="BH631" s="38"/>
      <c r="BI631" s="38"/>
      <c r="BJ631" s="38"/>
      <c r="BK631" s="38"/>
      <c r="BL631" s="38"/>
      <c r="BM631" s="38"/>
      <c r="BN631" s="38"/>
      <c r="BO631" s="38"/>
      <c r="BP631" s="38"/>
      <c r="BQ631" s="38"/>
      <c r="BR631" s="38"/>
    </row>
    <row r="632" spans="1:70">
      <c r="A632" s="38"/>
      <c r="B632" s="38"/>
      <c r="C632" s="43"/>
      <c r="D632" s="38"/>
      <c r="E632" s="38"/>
      <c r="F632" s="43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8"/>
      <c r="AJ632" s="38"/>
      <c r="AK632" s="38"/>
      <c r="AL632" s="38"/>
      <c r="AM632" s="38"/>
      <c r="AN632" s="38"/>
      <c r="AO632" s="38"/>
      <c r="AP632" s="38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  <c r="BA632" s="38"/>
      <c r="BB632" s="38"/>
      <c r="BC632" s="38"/>
      <c r="BD632" s="38"/>
      <c r="BE632" s="38"/>
      <c r="BF632" s="38"/>
      <c r="BG632" s="38"/>
      <c r="BH632" s="38"/>
      <c r="BI632" s="38"/>
      <c r="BJ632" s="38"/>
      <c r="BK632" s="38"/>
      <c r="BL632" s="38"/>
      <c r="BM632" s="38"/>
      <c r="BN632" s="38"/>
      <c r="BO632" s="38"/>
      <c r="BP632" s="38"/>
      <c r="BQ632" s="38"/>
      <c r="BR632" s="38"/>
    </row>
    <row r="633" spans="1:70">
      <c r="A633" s="38"/>
      <c r="B633" s="38"/>
      <c r="C633" s="43"/>
      <c r="D633" s="38"/>
      <c r="E633" s="38"/>
      <c r="F633" s="43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8"/>
      <c r="AJ633" s="38"/>
      <c r="AK633" s="38"/>
      <c r="AL633" s="38"/>
      <c r="AM633" s="38"/>
      <c r="AN633" s="38"/>
      <c r="AO633" s="38"/>
      <c r="AP633" s="38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  <c r="BA633" s="38"/>
      <c r="BB633" s="38"/>
      <c r="BC633" s="38"/>
      <c r="BD633" s="38"/>
      <c r="BE633" s="38"/>
      <c r="BF633" s="38"/>
      <c r="BG633" s="38"/>
      <c r="BH633" s="38"/>
      <c r="BI633" s="38"/>
      <c r="BJ633" s="38"/>
      <c r="BK633" s="38"/>
      <c r="BL633" s="38"/>
      <c r="BM633" s="38"/>
      <c r="BN633" s="38"/>
      <c r="BO633" s="38"/>
      <c r="BP633" s="38"/>
      <c r="BQ633" s="38"/>
      <c r="BR633" s="38"/>
    </row>
    <row r="634" spans="1:70">
      <c r="A634" s="38"/>
      <c r="B634" s="38"/>
      <c r="C634" s="43"/>
      <c r="D634" s="38"/>
      <c r="E634" s="38"/>
      <c r="F634" s="43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8"/>
      <c r="AJ634" s="38"/>
      <c r="AK634" s="38"/>
      <c r="AL634" s="38"/>
      <c r="AM634" s="38"/>
      <c r="AN634" s="38"/>
      <c r="AO634" s="38"/>
      <c r="AP634" s="38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  <c r="BA634" s="38"/>
      <c r="BB634" s="38"/>
      <c r="BC634" s="38"/>
      <c r="BD634" s="38"/>
      <c r="BE634" s="38"/>
      <c r="BF634" s="38"/>
      <c r="BG634" s="38"/>
      <c r="BH634" s="38"/>
      <c r="BI634" s="38"/>
      <c r="BJ634" s="38"/>
      <c r="BK634" s="38"/>
      <c r="BL634" s="38"/>
      <c r="BM634" s="38"/>
      <c r="BN634" s="38"/>
      <c r="BO634" s="38"/>
      <c r="BP634" s="38"/>
      <c r="BQ634" s="38"/>
      <c r="BR634" s="38"/>
    </row>
    <row r="635" spans="1:70">
      <c r="A635" s="38"/>
      <c r="B635" s="38"/>
      <c r="C635" s="43"/>
      <c r="D635" s="38"/>
      <c r="E635" s="38"/>
      <c r="F635" s="43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8"/>
      <c r="AJ635" s="38"/>
      <c r="AK635" s="38"/>
      <c r="AL635" s="38"/>
      <c r="AM635" s="38"/>
      <c r="AN635" s="38"/>
      <c r="AO635" s="38"/>
      <c r="AP635" s="38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  <c r="BA635" s="38"/>
      <c r="BB635" s="38"/>
      <c r="BC635" s="38"/>
      <c r="BD635" s="38"/>
      <c r="BE635" s="38"/>
      <c r="BF635" s="38"/>
      <c r="BG635" s="38"/>
      <c r="BH635" s="38"/>
      <c r="BI635" s="38"/>
      <c r="BJ635" s="38"/>
      <c r="BK635" s="38"/>
      <c r="BL635" s="38"/>
      <c r="BM635" s="38"/>
      <c r="BN635" s="38"/>
      <c r="BO635" s="38"/>
      <c r="BP635" s="38"/>
      <c r="BQ635" s="38"/>
      <c r="BR635" s="38"/>
    </row>
    <row r="636" spans="1:70">
      <c r="A636" s="38"/>
      <c r="B636" s="38"/>
      <c r="C636" s="43"/>
      <c r="D636" s="38"/>
      <c r="E636" s="38"/>
      <c r="F636" s="43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8"/>
      <c r="AJ636" s="38"/>
      <c r="AK636" s="38"/>
      <c r="AL636" s="38"/>
      <c r="AM636" s="38"/>
      <c r="AN636" s="38"/>
      <c r="AO636" s="38"/>
      <c r="AP636" s="38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  <c r="BA636" s="38"/>
      <c r="BB636" s="38"/>
      <c r="BC636" s="38"/>
      <c r="BD636" s="38"/>
      <c r="BE636" s="38"/>
      <c r="BF636" s="38"/>
      <c r="BG636" s="38"/>
      <c r="BH636" s="38"/>
      <c r="BI636" s="38"/>
      <c r="BJ636" s="38"/>
      <c r="BK636" s="38"/>
      <c r="BL636" s="38"/>
      <c r="BM636" s="38"/>
      <c r="BN636" s="38"/>
      <c r="BO636" s="38"/>
      <c r="BP636" s="38"/>
      <c r="BQ636" s="38"/>
      <c r="BR636" s="38"/>
    </row>
    <row r="637" spans="1:70">
      <c r="A637" s="38"/>
      <c r="B637" s="38"/>
      <c r="C637" s="43"/>
      <c r="D637" s="38"/>
      <c r="E637" s="38"/>
      <c r="F637" s="43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  <c r="AI637" s="38"/>
      <c r="AJ637" s="38"/>
      <c r="AK637" s="38"/>
      <c r="AL637" s="38"/>
      <c r="AM637" s="38"/>
      <c r="AN637" s="38"/>
      <c r="AO637" s="38"/>
      <c r="AP637" s="38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  <c r="BA637" s="38"/>
      <c r="BB637" s="38"/>
      <c r="BC637" s="38"/>
      <c r="BD637" s="38"/>
      <c r="BE637" s="38"/>
      <c r="BF637" s="38"/>
      <c r="BG637" s="38"/>
      <c r="BH637" s="38"/>
      <c r="BI637" s="38"/>
      <c r="BJ637" s="38"/>
      <c r="BK637" s="38"/>
      <c r="BL637" s="38"/>
      <c r="BM637" s="38"/>
      <c r="BN637" s="38"/>
      <c r="BO637" s="38"/>
      <c r="BP637" s="38"/>
      <c r="BQ637" s="38"/>
      <c r="BR637" s="38"/>
    </row>
    <row r="638" spans="1:70">
      <c r="A638" s="38"/>
      <c r="B638" s="38"/>
      <c r="C638" s="43"/>
      <c r="D638" s="38"/>
      <c r="E638" s="38"/>
      <c r="F638" s="43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8"/>
      <c r="AJ638" s="38"/>
      <c r="AK638" s="38"/>
      <c r="AL638" s="38"/>
      <c r="AM638" s="38"/>
      <c r="AN638" s="38"/>
      <c r="AO638" s="38"/>
      <c r="AP638" s="38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  <c r="BA638" s="38"/>
      <c r="BB638" s="38"/>
      <c r="BC638" s="38"/>
      <c r="BD638" s="38"/>
      <c r="BE638" s="38"/>
      <c r="BF638" s="38"/>
      <c r="BG638" s="38"/>
      <c r="BH638" s="38"/>
      <c r="BI638" s="38"/>
      <c r="BJ638" s="38"/>
      <c r="BK638" s="38"/>
      <c r="BL638" s="38"/>
      <c r="BM638" s="38"/>
      <c r="BN638" s="38"/>
      <c r="BO638" s="38"/>
      <c r="BP638" s="38"/>
      <c r="BQ638" s="38"/>
      <c r="BR638" s="38"/>
    </row>
    <row r="639" spans="1:70">
      <c r="A639" s="38"/>
      <c r="B639" s="38"/>
      <c r="C639" s="43"/>
      <c r="D639" s="38"/>
      <c r="E639" s="38"/>
      <c r="F639" s="43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8"/>
      <c r="AJ639" s="38"/>
      <c r="AK639" s="38"/>
      <c r="AL639" s="38"/>
      <c r="AM639" s="38"/>
      <c r="AN639" s="38"/>
      <c r="AO639" s="38"/>
      <c r="AP639" s="38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  <c r="BA639" s="38"/>
      <c r="BB639" s="38"/>
      <c r="BC639" s="38"/>
      <c r="BD639" s="38"/>
      <c r="BE639" s="38"/>
      <c r="BF639" s="38"/>
      <c r="BG639" s="38"/>
      <c r="BH639" s="38"/>
      <c r="BI639" s="38"/>
      <c r="BJ639" s="38"/>
      <c r="BK639" s="38"/>
      <c r="BL639" s="38"/>
      <c r="BM639" s="38"/>
      <c r="BN639" s="38"/>
      <c r="BO639" s="38"/>
      <c r="BP639" s="38"/>
      <c r="BQ639" s="38"/>
      <c r="BR639" s="38"/>
    </row>
    <row r="640" spans="1:70">
      <c r="A640" s="38"/>
      <c r="B640" s="38"/>
      <c r="C640" s="43"/>
      <c r="D640" s="38"/>
      <c r="E640" s="38"/>
      <c r="F640" s="43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8"/>
      <c r="AJ640" s="38"/>
      <c r="AK640" s="38"/>
      <c r="AL640" s="38"/>
      <c r="AM640" s="38"/>
      <c r="AN640" s="38"/>
      <c r="AO640" s="38"/>
      <c r="AP640" s="38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  <c r="BA640" s="38"/>
      <c r="BB640" s="38"/>
      <c r="BC640" s="38"/>
      <c r="BD640" s="38"/>
      <c r="BE640" s="38"/>
      <c r="BF640" s="38"/>
      <c r="BG640" s="38"/>
      <c r="BH640" s="38"/>
      <c r="BI640" s="38"/>
      <c r="BJ640" s="38"/>
      <c r="BK640" s="38"/>
      <c r="BL640" s="38"/>
      <c r="BM640" s="38"/>
      <c r="BN640" s="38"/>
      <c r="BO640" s="38"/>
      <c r="BP640" s="38"/>
      <c r="BQ640" s="38"/>
      <c r="BR640" s="38"/>
    </row>
    <row r="641" spans="1:70">
      <c r="A641" s="38"/>
      <c r="B641" s="38"/>
      <c r="C641" s="43"/>
      <c r="D641" s="38"/>
      <c r="E641" s="38"/>
      <c r="F641" s="43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8"/>
      <c r="AJ641" s="38"/>
      <c r="AK641" s="38"/>
      <c r="AL641" s="38"/>
      <c r="AM641" s="38"/>
      <c r="AN641" s="38"/>
      <c r="AO641" s="38"/>
      <c r="AP641" s="38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  <c r="BA641" s="38"/>
      <c r="BB641" s="38"/>
      <c r="BC641" s="38"/>
      <c r="BD641" s="38"/>
      <c r="BE641" s="38"/>
      <c r="BF641" s="38"/>
      <c r="BG641" s="38"/>
      <c r="BH641" s="38"/>
      <c r="BI641" s="38"/>
      <c r="BJ641" s="38"/>
      <c r="BK641" s="38"/>
      <c r="BL641" s="38"/>
      <c r="BM641" s="38"/>
      <c r="BN641" s="38"/>
      <c r="BO641" s="38"/>
      <c r="BP641" s="38"/>
      <c r="BQ641" s="38"/>
      <c r="BR641" s="38"/>
    </row>
    <row r="642" spans="1:70">
      <c r="A642" s="38"/>
      <c r="B642" s="38"/>
      <c r="C642" s="43"/>
      <c r="D642" s="38"/>
      <c r="E642" s="38"/>
      <c r="F642" s="43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8"/>
      <c r="AJ642" s="38"/>
      <c r="AK642" s="38"/>
      <c r="AL642" s="38"/>
      <c r="AM642" s="38"/>
      <c r="AN642" s="38"/>
      <c r="AO642" s="38"/>
      <c r="AP642" s="38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  <c r="BA642" s="38"/>
      <c r="BB642" s="38"/>
      <c r="BC642" s="38"/>
      <c r="BD642" s="38"/>
      <c r="BE642" s="38"/>
      <c r="BF642" s="38"/>
      <c r="BG642" s="38"/>
      <c r="BH642" s="38"/>
      <c r="BI642" s="38"/>
      <c r="BJ642" s="38"/>
      <c r="BK642" s="38"/>
      <c r="BL642" s="38"/>
      <c r="BM642" s="38"/>
      <c r="BN642" s="38"/>
      <c r="BO642" s="38"/>
      <c r="BP642" s="38"/>
      <c r="BQ642" s="38"/>
      <c r="BR642" s="38"/>
    </row>
    <row r="643" spans="1:70">
      <c r="A643" s="38"/>
      <c r="B643" s="38"/>
      <c r="C643" s="43"/>
      <c r="D643" s="38"/>
      <c r="E643" s="38"/>
      <c r="F643" s="43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8"/>
      <c r="AJ643" s="38"/>
      <c r="AK643" s="38"/>
      <c r="AL643" s="38"/>
      <c r="AM643" s="38"/>
      <c r="AN643" s="38"/>
      <c r="AO643" s="38"/>
      <c r="AP643" s="38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  <c r="BA643" s="38"/>
      <c r="BB643" s="38"/>
      <c r="BC643" s="38"/>
      <c r="BD643" s="38"/>
      <c r="BE643" s="38"/>
      <c r="BF643" s="38"/>
      <c r="BG643" s="38"/>
      <c r="BH643" s="38"/>
      <c r="BI643" s="38"/>
      <c r="BJ643" s="38"/>
      <c r="BK643" s="38"/>
      <c r="BL643" s="38"/>
      <c r="BM643" s="38"/>
      <c r="BN643" s="38"/>
      <c r="BO643" s="38"/>
      <c r="BP643" s="38"/>
      <c r="BQ643" s="38"/>
      <c r="BR643" s="38"/>
    </row>
    <row r="644" spans="1:70">
      <c r="A644" s="38"/>
      <c r="B644" s="38"/>
      <c r="C644" s="43"/>
      <c r="D644" s="38"/>
      <c r="E644" s="38"/>
      <c r="F644" s="43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8"/>
      <c r="AJ644" s="38"/>
      <c r="AK644" s="38"/>
      <c r="AL644" s="38"/>
      <c r="AM644" s="38"/>
      <c r="AN644" s="38"/>
      <c r="AO644" s="38"/>
      <c r="AP644" s="38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  <c r="BA644" s="38"/>
      <c r="BB644" s="38"/>
      <c r="BC644" s="38"/>
      <c r="BD644" s="38"/>
      <c r="BE644" s="38"/>
      <c r="BF644" s="38"/>
      <c r="BG644" s="38"/>
      <c r="BH644" s="38"/>
      <c r="BI644" s="38"/>
      <c r="BJ644" s="38"/>
      <c r="BK644" s="38"/>
      <c r="BL644" s="38"/>
      <c r="BM644" s="38"/>
      <c r="BN644" s="38"/>
      <c r="BO644" s="38"/>
      <c r="BP644" s="38"/>
      <c r="BQ644" s="38"/>
      <c r="BR644" s="38"/>
    </row>
    <row r="645" spans="1:70">
      <c r="A645" s="38"/>
      <c r="B645" s="38"/>
      <c r="C645" s="43"/>
      <c r="D645" s="38"/>
      <c r="E645" s="38"/>
      <c r="F645" s="43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8"/>
      <c r="AJ645" s="38"/>
      <c r="AK645" s="38"/>
      <c r="AL645" s="38"/>
      <c r="AM645" s="38"/>
      <c r="AN645" s="38"/>
      <c r="AO645" s="38"/>
      <c r="AP645" s="38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  <c r="BA645" s="38"/>
      <c r="BB645" s="38"/>
      <c r="BC645" s="38"/>
      <c r="BD645" s="38"/>
      <c r="BE645" s="38"/>
      <c r="BF645" s="38"/>
      <c r="BG645" s="38"/>
      <c r="BH645" s="38"/>
      <c r="BI645" s="38"/>
      <c r="BJ645" s="38"/>
      <c r="BK645" s="38"/>
      <c r="BL645" s="38"/>
      <c r="BM645" s="38"/>
      <c r="BN645" s="38"/>
      <c r="BO645" s="38"/>
      <c r="BP645" s="38"/>
      <c r="BQ645" s="38"/>
      <c r="BR645" s="38"/>
    </row>
    <row r="646" spans="1:70">
      <c r="A646" s="38"/>
      <c r="B646" s="38"/>
      <c r="C646" s="43"/>
      <c r="D646" s="38"/>
      <c r="E646" s="38"/>
      <c r="F646" s="43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8"/>
      <c r="AJ646" s="38"/>
      <c r="AK646" s="38"/>
      <c r="AL646" s="38"/>
      <c r="AM646" s="38"/>
      <c r="AN646" s="38"/>
      <c r="AO646" s="38"/>
      <c r="AP646" s="38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  <c r="BA646" s="38"/>
      <c r="BB646" s="38"/>
      <c r="BC646" s="38"/>
      <c r="BD646" s="38"/>
      <c r="BE646" s="38"/>
      <c r="BF646" s="38"/>
      <c r="BG646" s="38"/>
      <c r="BH646" s="38"/>
      <c r="BI646" s="38"/>
      <c r="BJ646" s="38"/>
      <c r="BK646" s="38"/>
      <c r="BL646" s="38"/>
      <c r="BM646" s="38"/>
      <c r="BN646" s="38"/>
      <c r="BO646" s="38"/>
      <c r="BP646" s="38"/>
      <c r="BQ646" s="38"/>
      <c r="BR646" s="38"/>
    </row>
    <row r="647" spans="1:70">
      <c r="A647" s="38"/>
      <c r="B647" s="38"/>
      <c r="C647" s="43"/>
      <c r="D647" s="38"/>
      <c r="E647" s="38"/>
      <c r="F647" s="43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8"/>
      <c r="AJ647" s="38"/>
      <c r="AK647" s="38"/>
      <c r="AL647" s="38"/>
      <c r="AM647" s="38"/>
      <c r="AN647" s="38"/>
      <c r="AO647" s="38"/>
      <c r="AP647" s="38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  <c r="BA647" s="38"/>
      <c r="BB647" s="38"/>
      <c r="BC647" s="38"/>
      <c r="BD647" s="38"/>
      <c r="BE647" s="38"/>
      <c r="BF647" s="38"/>
      <c r="BG647" s="38"/>
      <c r="BH647" s="38"/>
      <c r="BI647" s="38"/>
      <c r="BJ647" s="38"/>
      <c r="BK647" s="38"/>
      <c r="BL647" s="38"/>
      <c r="BM647" s="38"/>
      <c r="BN647" s="38"/>
      <c r="BO647" s="38"/>
      <c r="BP647" s="38"/>
      <c r="BQ647" s="38"/>
      <c r="BR647" s="38"/>
    </row>
    <row r="648" spans="1:70">
      <c r="A648" s="38"/>
      <c r="B648" s="38"/>
      <c r="C648" s="43"/>
      <c r="D648" s="38"/>
      <c r="E648" s="38"/>
      <c r="F648" s="43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8"/>
      <c r="AJ648" s="38"/>
      <c r="AK648" s="38"/>
      <c r="AL648" s="38"/>
      <c r="AM648" s="38"/>
      <c r="AN648" s="38"/>
      <c r="AO648" s="38"/>
      <c r="AP648" s="38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  <c r="BA648" s="38"/>
      <c r="BB648" s="38"/>
      <c r="BC648" s="38"/>
      <c r="BD648" s="38"/>
      <c r="BE648" s="38"/>
      <c r="BF648" s="38"/>
      <c r="BG648" s="38"/>
      <c r="BH648" s="38"/>
      <c r="BI648" s="38"/>
      <c r="BJ648" s="38"/>
      <c r="BK648" s="38"/>
      <c r="BL648" s="38"/>
      <c r="BM648" s="38"/>
      <c r="BN648" s="38"/>
      <c r="BO648" s="38"/>
      <c r="BP648" s="38"/>
      <c r="BQ648" s="38"/>
      <c r="BR648" s="38"/>
    </row>
    <row r="649" spans="1:70">
      <c r="A649" s="38"/>
      <c r="B649" s="38"/>
      <c r="C649" s="43"/>
      <c r="D649" s="38"/>
      <c r="E649" s="38"/>
      <c r="F649" s="43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8"/>
      <c r="AJ649" s="38"/>
      <c r="AK649" s="38"/>
      <c r="AL649" s="38"/>
      <c r="AM649" s="38"/>
      <c r="AN649" s="38"/>
      <c r="AO649" s="38"/>
      <c r="AP649" s="38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  <c r="BA649" s="38"/>
      <c r="BB649" s="38"/>
      <c r="BC649" s="38"/>
      <c r="BD649" s="38"/>
      <c r="BE649" s="38"/>
      <c r="BF649" s="38"/>
      <c r="BG649" s="38"/>
      <c r="BH649" s="38"/>
      <c r="BI649" s="38"/>
      <c r="BJ649" s="38"/>
      <c r="BK649" s="38"/>
      <c r="BL649" s="38"/>
      <c r="BM649" s="38"/>
      <c r="BN649" s="38"/>
      <c r="BO649" s="38"/>
      <c r="BP649" s="38"/>
      <c r="BQ649" s="38"/>
      <c r="BR649" s="38"/>
    </row>
    <row r="650" spans="1:70">
      <c r="A650" s="38"/>
      <c r="B650" s="38"/>
      <c r="C650" s="43"/>
      <c r="D650" s="38"/>
      <c r="E650" s="38"/>
      <c r="F650" s="43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8"/>
      <c r="AJ650" s="38"/>
      <c r="AK650" s="38"/>
      <c r="AL650" s="38"/>
      <c r="AM650" s="38"/>
      <c r="AN650" s="38"/>
      <c r="AO650" s="38"/>
      <c r="AP650" s="38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  <c r="BA650" s="38"/>
      <c r="BB650" s="38"/>
      <c r="BC650" s="38"/>
      <c r="BD650" s="38"/>
      <c r="BE650" s="38"/>
      <c r="BF650" s="38"/>
      <c r="BG650" s="38"/>
      <c r="BH650" s="38"/>
      <c r="BI650" s="38"/>
      <c r="BJ650" s="38"/>
      <c r="BK650" s="38"/>
      <c r="BL650" s="38"/>
      <c r="BM650" s="38"/>
      <c r="BN650" s="38"/>
      <c r="BO650" s="38"/>
      <c r="BP650" s="38"/>
      <c r="BQ650" s="38"/>
      <c r="BR650" s="38"/>
    </row>
    <row r="651" spans="1:70">
      <c r="A651" s="38"/>
      <c r="B651" s="38"/>
      <c r="C651" s="43"/>
      <c r="D651" s="38"/>
      <c r="E651" s="38"/>
      <c r="F651" s="43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8"/>
      <c r="AJ651" s="38"/>
      <c r="AK651" s="38"/>
      <c r="AL651" s="38"/>
      <c r="AM651" s="38"/>
      <c r="AN651" s="38"/>
      <c r="AO651" s="38"/>
      <c r="AP651" s="38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  <c r="BA651" s="38"/>
      <c r="BB651" s="38"/>
      <c r="BC651" s="38"/>
      <c r="BD651" s="38"/>
      <c r="BE651" s="38"/>
      <c r="BF651" s="38"/>
      <c r="BG651" s="38"/>
      <c r="BH651" s="38"/>
      <c r="BI651" s="38"/>
      <c r="BJ651" s="38"/>
      <c r="BK651" s="38"/>
      <c r="BL651" s="38"/>
      <c r="BM651" s="38"/>
      <c r="BN651" s="38"/>
      <c r="BO651" s="38"/>
      <c r="BP651" s="38"/>
      <c r="BQ651" s="38"/>
      <c r="BR651" s="38"/>
    </row>
    <row r="652" spans="1:70">
      <c r="A652" s="38"/>
      <c r="B652" s="38"/>
      <c r="C652" s="43"/>
      <c r="D652" s="38"/>
      <c r="E652" s="38"/>
      <c r="F652" s="43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8"/>
      <c r="AJ652" s="38"/>
      <c r="AK652" s="38"/>
      <c r="AL652" s="38"/>
      <c r="AM652" s="38"/>
      <c r="AN652" s="38"/>
      <c r="AO652" s="38"/>
      <c r="AP652" s="38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  <c r="BA652" s="38"/>
      <c r="BB652" s="38"/>
      <c r="BC652" s="38"/>
      <c r="BD652" s="38"/>
      <c r="BE652" s="38"/>
      <c r="BF652" s="38"/>
      <c r="BG652" s="38"/>
      <c r="BH652" s="38"/>
      <c r="BI652" s="38"/>
      <c r="BJ652" s="38"/>
      <c r="BK652" s="38"/>
      <c r="BL652" s="38"/>
      <c r="BM652" s="38"/>
      <c r="BN652" s="38"/>
      <c r="BO652" s="38"/>
      <c r="BP652" s="38"/>
      <c r="BQ652" s="38"/>
      <c r="BR652" s="38"/>
    </row>
    <row r="653" spans="1:70">
      <c r="A653" s="38"/>
      <c r="B653" s="38"/>
      <c r="C653" s="43"/>
      <c r="D653" s="38"/>
      <c r="E653" s="38"/>
      <c r="F653" s="43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8"/>
      <c r="AJ653" s="38"/>
      <c r="AK653" s="38"/>
      <c r="AL653" s="38"/>
      <c r="AM653" s="38"/>
      <c r="AN653" s="38"/>
      <c r="AO653" s="38"/>
      <c r="AP653" s="38"/>
      <c r="AQ653" s="38"/>
      <c r="AR653" s="38"/>
      <c r="AS653" s="38"/>
      <c r="AT653" s="38"/>
      <c r="AU653" s="38"/>
      <c r="AV653" s="38"/>
      <c r="AW653" s="38"/>
      <c r="AX653" s="38"/>
      <c r="AY653" s="38"/>
      <c r="AZ653" s="38"/>
      <c r="BA653" s="38"/>
      <c r="BB653" s="38"/>
      <c r="BC653" s="38"/>
      <c r="BD653" s="38"/>
      <c r="BE653" s="38"/>
      <c r="BF653" s="38"/>
      <c r="BG653" s="38"/>
      <c r="BH653" s="38"/>
      <c r="BI653" s="38"/>
      <c r="BJ653" s="38"/>
      <c r="BK653" s="38"/>
      <c r="BL653" s="38"/>
      <c r="BM653" s="38"/>
      <c r="BN653" s="38"/>
      <c r="BO653" s="38"/>
      <c r="BP653" s="38"/>
      <c r="BQ653" s="38"/>
      <c r="BR653" s="38"/>
    </row>
    <row r="654" spans="1:70">
      <c r="A654" s="38"/>
      <c r="B654" s="38"/>
      <c r="C654" s="43"/>
      <c r="D654" s="38"/>
      <c r="E654" s="38"/>
      <c r="F654" s="43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8"/>
      <c r="AJ654" s="38"/>
      <c r="AK654" s="38"/>
      <c r="AL654" s="38"/>
      <c r="AM654" s="38"/>
      <c r="AN654" s="38"/>
      <c r="AO654" s="38"/>
      <c r="AP654" s="38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  <c r="BA654" s="38"/>
      <c r="BB654" s="38"/>
      <c r="BC654" s="38"/>
      <c r="BD654" s="38"/>
      <c r="BE654" s="38"/>
      <c r="BF654" s="38"/>
      <c r="BG654" s="38"/>
      <c r="BH654" s="38"/>
      <c r="BI654" s="38"/>
      <c r="BJ654" s="38"/>
      <c r="BK654" s="38"/>
      <c r="BL654" s="38"/>
      <c r="BM654" s="38"/>
      <c r="BN654" s="38"/>
      <c r="BO654" s="38"/>
      <c r="BP654" s="38"/>
      <c r="BQ654" s="38"/>
      <c r="BR654" s="38"/>
    </row>
    <row r="655" spans="1:70">
      <c r="A655" s="38"/>
      <c r="B655" s="38"/>
      <c r="C655" s="43"/>
      <c r="D655" s="38"/>
      <c r="E655" s="38"/>
      <c r="F655" s="43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8"/>
      <c r="AJ655" s="38"/>
      <c r="AK655" s="38"/>
      <c r="AL655" s="38"/>
      <c r="AM655" s="38"/>
      <c r="AN655" s="38"/>
      <c r="AO655" s="38"/>
      <c r="AP655" s="38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  <c r="BA655" s="38"/>
      <c r="BB655" s="38"/>
      <c r="BC655" s="38"/>
      <c r="BD655" s="38"/>
      <c r="BE655" s="38"/>
      <c r="BF655" s="38"/>
      <c r="BG655" s="38"/>
      <c r="BH655" s="38"/>
      <c r="BI655" s="38"/>
      <c r="BJ655" s="38"/>
      <c r="BK655" s="38"/>
      <c r="BL655" s="38"/>
      <c r="BM655" s="38"/>
      <c r="BN655" s="38"/>
      <c r="BO655" s="38"/>
      <c r="BP655" s="38"/>
      <c r="BQ655" s="38"/>
      <c r="BR655" s="38"/>
    </row>
    <row r="656" spans="1:70">
      <c r="A656" s="38"/>
      <c r="B656" s="38"/>
      <c r="C656" s="43"/>
      <c r="D656" s="38"/>
      <c r="E656" s="38"/>
      <c r="F656" s="43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8"/>
      <c r="AJ656" s="38"/>
      <c r="AK656" s="38"/>
      <c r="AL656" s="38"/>
      <c r="AM656" s="38"/>
      <c r="AN656" s="38"/>
      <c r="AO656" s="38"/>
      <c r="AP656" s="38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  <c r="BA656" s="38"/>
      <c r="BB656" s="38"/>
      <c r="BC656" s="38"/>
      <c r="BD656" s="38"/>
      <c r="BE656" s="38"/>
      <c r="BF656" s="38"/>
      <c r="BG656" s="38"/>
      <c r="BH656" s="38"/>
      <c r="BI656" s="38"/>
      <c r="BJ656" s="38"/>
      <c r="BK656" s="38"/>
      <c r="BL656" s="38"/>
      <c r="BM656" s="38"/>
      <c r="BN656" s="38"/>
      <c r="BO656" s="38"/>
      <c r="BP656" s="38"/>
      <c r="BQ656" s="38"/>
      <c r="BR656" s="38"/>
    </row>
    <row r="657" spans="1:70">
      <c r="A657" s="38"/>
      <c r="B657" s="38"/>
      <c r="C657" s="43"/>
      <c r="D657" s="38"/>
      <c r="E657" s="38"/>
      <c r="F657" s="43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8"/>
      <c r="AJ657" s="38"/>
      <c r="AK657" s="38"/>
      <c r="AL657" s="38"/>
      <c r="AM657" s="38"/>
      <c r="AN657" s="38"/>
      <c r="AO657" s="38"/>
      <c r="AP657" s="38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  <c r="BA657" s="38"/>
      <c r="BB657" s="38"/>
      <c r="BC657" s="38"/>
      <c r="BD657" s="38"/>
      <c r="BE657" s="38"/>
      <c r="BF657" s="38"/>
      <c r="BG657" s="38"/>
      <c r="BH657" s="38"/>
      <c r="BI657" s="38"/>
      <c r="BJ657" s="38"/>
      <c r="BK657" s="38"/>
      <c r="BL657" s="38"/>
      <c r="BM657" s="38"/>
      <c r="BN657" s="38"/>
      <c r="BO657" s="38"/>
      <c r="BP657" s="38"/>
      <c r="BQ657" s="38"/>
      <c r="BR657" s="38"/>
    </row>
    <row r="658" spans="1:70">
      <c r="A658" s="38"/>
      <c r="B658" s="38"/>
      <c r="C658" s="43"/>
      <c r="D658" s="38"/>
      <c r="E658" s="38"/>
      <c r="F658" s="43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8"/>
      <c r="AJ658" s="38"/>
      <c r="AK658" s="38"/>
      <c r="AL658" s="38"/>
      <c r="AM658" s="38"/>
      <c r="AN658" s="38"/>
      <c r="AO658" s="38"/>
      <c r="AP658" s="38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  <c r="BA658" s="38"/>
      <c r="BB658" s="38"/>
      <c r="BC658" s="38"/>
      <c r="BD658" s="38"/>
      <c r="BE658" s="38"/>
      <c r="BF658" s="38"/>
      <c r="BG658" s="38"/>
      <c r="BH658" s="38"/>
      <c r="BI658" s="38"/>
      <c r="BJ658" s="38"/>
      <c r="BK658" s="38"/>
      <c r="BL658" s="38"/>
      <c r="BM658" s="38"/>
      <c r="BN658" s="38"/>
      <c r="BO658" s="38"/>
      <c r="BP658" s="38"/>
      <c r="BQ658" s="38"/>
      <c r="BR658" s="38"/>
    </row>
    <row r="659" spans="1:70">
      <c r="A659" s="38"/>
      <c r="B659" s="38"/>
      <c r="C659" s="43"/>
      <c r="D659" s="38"/>
      <c r="E659" s="38"/>
      <c r="F659" s="43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8"/>
      <c r="AJ659" s="38"/>
      <c r="AK659" s="38"/>
      <c r="AL659" s="38"/>
      <c r="AM659" s="38"/>
      <c r="AN659" s="38"/>
      <c r="AO659" s="38"/>
      <c r="AP659" s="38"/>
      <c r="AQ659" s="38"/>
      <c r="AR659" s="38"/>
      <c r="AS659" s="38"/>
      <c r="AT659" s="38"/>
      <c r="AU659" s="38"/>
      <c r="AV659" s="38"/>
      <c r="AW659" s="38"/>
      <c r="AX659" s="38"/>
      <c r="AY659" s="38"/>
      <c r="AZ659" s="38"/>
      <c r="BA659" s="38"/>
      <c r="BB659" s="38"/>
      <c r="BC659" s="38"/>
      <c r="BD659" s="38"/>
      <c r="BE659" s="38"/>
      <c r="BF659" s="38"/>
      <c r="BG659" s="38"/>
      <c r="BH659" s="38"/>
      <c r="BI659" s="38"/>
      <c r="BJ659" s="38"/>
      <c r="BK659" s="38"/>
      <c r="BL659" s="38"/>
      <c r="BM659" s="38"/>
      <c r="BN659" s="38"/>
      <c r="BO659" s="38"/>
      <c r="BP659" s="38"/>
      <c r="BQ659" s="38"/>
      <c r="BR659" s="38"/>
    </row>
    <row r="660" spans="1:70">
      <c r="A660" s="38"/>
      <c r="B660" s="38"/>
      <c r="C660" s="43"/>
      <c r="D660" s="38"/>
      <c r="E660" s="38"/>
      <c r="F660" s="43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8"/>
      <c r="AJ660" s="38"/>
      <c r="AK660" s="38"/>
      <c r="AL660" s="38"/>
      <c r="AM660" s="38"/>
      <c r="AN660" s="38"/>
      <c r="AO660" s="38"/>
      <c r="AP660" s="38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  <c r="BA660" s="38"/>
      <c r="BB660" s="38"/>
      <c r="BC660" s="38"/>
      <c r="BD660" s="38"/>
      <c r="BE660" s="38"/>
      <c r="BF660" s="38"/>
      <c r="BG660" s="38"/>
      <c r="BH660" s="38"/>
      <c r="BI660" s="38"/>
      <c r="BJ660" s="38"/>
      <c r="BK660" s="38"/>
      <c r="BL660" s="38"/>
      <c r="BM660" s="38"/>
      <c r="BN660" s="38"/>
      <c r="BO660" s="38"/>
      <c r="BP660" s="38"/>
      <c r="BQ660" s="38"/>
      <c r="BR660" s="38"/>
    </row>
    <row r="661" spans="1:70">
      <c r="A661" s="38"/>
      <c r="B661" s="38"/>
      <c r="C661" s="43"/>
      <c r="D661" s="38"/>
      <c r="E661" s="38"/>
      <c r="F661" s="43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8"/>
      <c r="AJ661" s="38"/>
      <c r="AK661" s="38"/>
      <c r="AL661" s="38"/>
      <c r="AM661" s="38"/>
      <c r="AN661" s="38"/>
      <c r="AO661" s="38"/>
      <c r="AP661" s="38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  <c r="BA661" s="38"/>
      <c r="BB661" s="38"/>
      <c r="BC661" s="38"/>
      <c r="BD661" s="38"/>
      <c r="BE661" s="38"/>
      <c r="BF661" s="38"/>
      <c r="BG661" s="38"/>
      <c r="BH661" s="38"/>
      <c r="BI661" s="38"/>
      <c r="BJ661" s="38"/>
      <c r="BK661" s="38"/>
      <c r="BL661" s="38"/>
      <c r="BM661" s="38"/>
      <c r="BN661" s="38"/>
      <c r="BO661" s="38"/>
      <c r="BP661" s="38"/>
      <c r="BQ661" s="38"/>
      <c r="BR661" s="38"/>
    </row>
    <row r="662" spans="1:70">
      <c r="A662" s="38"/>
      <c r="B662" s="38"/>
      <c r="C662" s="43"/>
      <c r="D662" s="38"/>
      <c r="E662" s="38"/>
      <c r="F662" s="43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8"/>
      <c r="AJ662" s="38"/>
      <c r="AK662" s="38"/>
      <c r="AL662" s="38"/>
      <c r="AM662" s="38"/>
      <c r="AN662" s="38"/>
      <c r="AO662" s="38"/>
      <c r="AP662" s="38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  <c r="BA662" s="38"/>
      <c r="BB662" s="38"/>
      <c r="BC662" s="38"/>
      <c r="BD662" s="38"/>
      <c r="BE662" s="38"/>
      <c r="BF662" s="38"/>
      <c r="BG662" s="38"/>
      <c r="BH662" s="38"/>
      <c r="BI662" s="38"/>
      <c r="BJ662" s="38"/>
      <c r="BK662" s="38"/>
      <c r="BL662" s="38"/>
      <c r="BM662" s="38"/>
      <c r="BN662" s="38"/>
      <c r="BO662" s="38"/>
      <c r="BP662" s="38"/>
      <c r="BQ662" s="38"/>
      <c r="BR662" s="38"/>
    </row>
    <row r="663" spans="1:70">
      <c r="A663" s="38"/>
      <c r="B663" s="38"/>
      <c r="C663" s="43"/>
      <c r="D663" s="38"/>
      <c r="E663" s="38"/>
      <c r="F663" s="43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8"/>
      <c r="AJ663" s="38"/>
      <c r="AK663" s="38"/>
      <c r="AL663" s="38"/>
      <c r="AM663" s="38"/>
      <c r="AN663" s="38"/>
      <c r="AO663" s="38"/>
      <c r="AP663" s="38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  <c r="BA663" s="38"/>
      <c r="BB663" s="38"/>
      <c r="BC663" s="38"/>
      <c r="BD663" s="38"/>
      <c r="BE663" s="38"/>
      <c r="BF663" s="38"/>
      <c r="BG663" s="38"/>
      <c r="BH663" s="38"/>
      <c r="BI663" s="38"/>
      <c r="BJ663" s="38"/>
      <c r="BK663" s="38"/>
      <c r="BL663" s="38"/>
      <c r="BM663" s="38"/>
      <c r="BN663" s="38"/>
      <c r="BO663" s="38"/>
      <c r="BP663" s="38"/>
      <c r="BQ663" s="38"/>
      <c r="BR663" s="38"/>
    </row>
    <row r="664" spans="1:70">
      <c r="A664" s="38"/>
      <c r="B664" s="38"/>
      <c r="C664" s="43"/>
      <c r="D664" s="38"/>
      <c r="E664" s="38"/>
      <c r="F664" s="43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8"/>
      <c r="AJ664" s="38"/>
      <c r="AK664" s="38"/>
      <c r="AL664" s="38"/>
      <c r="AM664" s="38"/>
      <c r="AN664" s="38"/>
      <c r="AO664" s="38"/>
      <c r="AP664" s="38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  <c r="BA664" s="38"/>
      <c r="BB664" s="38"/>
      <c r="BC664" s="38"/>
      <c r="BD664" s="38"/>
      <c r="BE664" s="38"/>
      <c r="BF664" s="38"/>
      <c r="BG664" s="38"/>
      <c r="BH664" s="38"/>
      <c r="BI664" s="38"/>
      <c r="BJ664" s="38"/>
      <c r="BK664" s="38"/>
      <c r="BL664" s="38"/>
      <c r="BM664" s="38"/>
      <c r="BN664" s="38"/>
      <c r="BO664" s="38"/>
      <c r="BP664" s="38"/>
      <c r="BQ664" s="38"/>
      <c r="BR664" s="38"/>
    </row>
    <row r="665" spans="1:70">
      <c r="A665" s="38"/>
      <c r="B665" s="38"/>
      <c r="C665" s="43"/>
      <c r="D665" s="38"/>
      <c r="E665" s="38"/>
      <c r="F665" s="43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  <c r="AI665" s="38"/>
      <c r="AJ665" s="38"/>
      <c r="AK665" s="38"/>
      <c r="AL665" s="38"/>
      <c r="AM665" s="38"/>
      <c r="AN665" s="38"/>
      <c r="AO665" s="38"/>
      <c r="AP665" s="38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  <c r="BA665" s="38"/>
      <c r="BB665" s="38"/>
      <c r="BC665" s="38"/>
      <c r="BD665" s="38"/>
      <c r="BE665" s="38"/>
      <c r="BF665" s="38"/>
      <c r="BG665" s="38"/>
      <c r="BH665" s="38"/>
      <c r="BI665" s="38"/>
      <c r="BJ665" s="38"/>
      <c r="BK665" s="38"/>
      <c r="BL665" s="38"/>
      <c r="BM665" s="38"/>
      <c r="BN665" s="38"/>
      <c r="BO665" s="38"/>
      <c r="BP665" s="38"/>
      <c r="BQ665" s="38"/>
      <c r="BR665" s="38"/>
    </row>
    <row r="666" spans="1:70">
      <c r="A666" s="38"/>
      <c r="B666" s="38"/>
      <c r="C666" s="43"/>
      <c r="D666" s="38"/>
      <c r="E666" s="38"/>
      <c r="F666" s="43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8"/>
      <c r="AJ666" s="38"/>
      <c r="AK666" s="38"/>
      <c r="AL666" s="38"/>
      <c r="AM666" s="38"/>
      <c r="AN666" s="38"/>
      <c r="AO666" s="38"/>
      <c r="AP666" s="38"/>
      <c r="AQ666" s="38"/>
      <c r="AR666" s="38"/>
      <c r="AS666" s="38"/>
      <c r="AT666" s="38"/>
      <c r="AU666" s="38"/>
      <c r="AV666" s="38"/>
      <c r="AW666" s="38"/>
      <c r="AX666" s="38"/>
      <c r="AY666" s="38"/>
      <c r="AZ666" s="38"/>
      <c r="BA666" s="38"/>
      <c r="BB666" s="38"/>
      <c r="BC666" s="38"/>
      <c r="BD666" s="38"/>
      <c r="BE666" s="38"/>
      <c r="BF666" s="38"/>
      <c r="BG666" s="38"/>
      <c r="BH666" s="38"/>
      <c r="BI666" s="38"/>
      <c r="BJ666" s="38"/>
      <c r="BK666" s="38"/>
      <c r="BL666" s="38"/>
      <c r="BM666" s="38"/>
      <c r="BN666" s="38"/>
      <c r="BO666" s="38"/>
      <c r="BP666" s="38"/>
      <c r="BQ666" s="38"/>
      <c r="BR666" s="38"/>
    </row>
    <row r="667" spans="1:70">
      <c r="A667" s="38"/>
      <c r="B667" s="38"/>
      <c r="C667" s="43"/>
      <c r="D667" s="38"/>
      <c r="E667" s="38"/>
      <c r="F667" s="43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8"/>
      <c r="AJ667" s="38"/>
      <c r="AK667" s="38"/>
      <c r="AL667" s="38"/>
      <c r="AM667" s="38"/>
      <c r="AN667" s="38"/>
      <c r="AO667" s="38"/>
      <c r="AP667" s="38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  <c r="BA667" s="38"/>
      <c r="BB667" s="38"/>
      <c r="BC667" s="38"/>
      <c r="BD667" s="38"/>
      <c r="BE667" s="38"/>
      <c r="BF667" s="38"/>
      <c r="BG667" s="38"/>
      <c r="BH667" s="38"/>
      <c r="BI667" s="38"/>
      <c r="BJ667" s="38"/>
      <c r="BK667" s="38"/>
      <c r="BL667" s="38"/>
      <c r="BM667" s="38"/>
      <c r="BN667" s="38"/>
      <c r="BO667" s="38"/>
      <c r="BP667" s="38"/>
      <c r="BQ667" s="38"/>
      <c r="BR667" s="38"/>
    </row>
    <row r="668" spans="1:70">
      <c r="A668" s="38"/>
      <c r="B668" s="38"/>
      <c r="C668" s="43"/>
      <c r="D668" s="38"/>
      <c r="E668" s="38"/>
      <c r="F668" s="43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8"/>
      <c r="AJ668" s="38"/>
      <c r="AK668" s="38"/>
      <c r="AL668" s="38"/>
      <c r="AM668" s="38"/>
      <c r="AN668" s="38"/>
      <c r="AO668" s="38"/>
      <c r="AP668" s="38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  <c r="BA668" s="38"/>
      <c r="BB668" s="38"/>
      <c r="BC668" s="38"/>
      <c r="BD668" s="38"/>
      <c r="BE668" s="38"/>
      <c r="BF668" s="38"/>
      <c r="BG668" s="38"/>
      <c r="BH668" s="38"/>
      <c r="BI668" s="38"/>
      <c r="BJ668" s="38"/>
      <c r="BK668" s="38"/>
      <c r="BL668" s="38"/>
      <c r="BM668" s="38"/>
      <c r="BN668" s="38"/>
      <c r="BO668" s="38"/>
      <c r="BP668" s="38"/>
      <c r="BQ668" s="38"/>
      <c r="BR668" s="38"/>
    </row>
    <row r="669" spans="1:70">
      <c r="A669" s="38"/>
      <c r="B669" s="38"/>
      <c r="C669" s="43"/>
      <c r="D669" s="38"/>
      <c r="E669" s="38"/>
      <c r="F669" s="43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8"/>
      <c r="AJ669" s="38"/>
      <c r="AK669" s="38"/>
      <c r="AL669" s="38"/>
      <c r="AM669" s="38"/>
      <c r="AN669" s="38"/>
      <c r="AO669" s="38"/>
      <c r="AP669" s="38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  <c r="BA669" s="38"/>
      <c r="BB669" s="38"/>
      <c r="BC669" s="38"/>
      <c r="BD669" s="38"/>
      <c r="BE669" s="38"/>
      <c r="BF669" s="38"/>
      <c r="BG669" s="38"/>
      <c r="BH669" s="38"/>
      <c r="BI669" s="38"/>
      <c r="BJ669" s="38"/>
      <c r="BK669" s="38"/>
      <c r="BL669" s="38"/>
      <c r="BM669" s="38"/>
      <c r="BN669" s="38"/>
      <c r="BO669" s="38"/>
      <c r="BP669" s="38"/>
      <c r="BQ669" s="38"/>
      <c r="BR669" s="38"/>
    </row>
    <row r="670" spans="1:70">
      <c r="A670" s="38"/>
      <c r="B670" s="38"/>
      <c r="C670" s="43"/>
      <c r="D670" s="38"/>
      <c r="E670" s="38"/>
      <c r="F670" s="43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8"/>
      <c r="AJ670" s="38"/>
      <c r="AK670" s="38"/>
      <c r="AL670" s="38"/>
      <c r="AM670" s="38"/>
      <c r="AN670" s="38"/>
      <c r="AO670" s="38"/>
      <c r="AP670" s="38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  <c r="BA670" s="38"/>
      <c r="BB670" s="38"/>
      <c r="BC670" s="38"/>
      <c r="BD670" s="38"/>
      <c r="BE670" s="38"/>
      <c r="BF670" s="38"/>
      <c r="BG670" s="38"/>
      <c r="BH670" s="38"/>
      <c r="BI670" s="38"/>
      <c r="BJ670" s="38"/>
      <c r="BK670" s="38"/>
      <c r="BL670" s="38"/>
      <c r="BM670" s="38"/>
      <c r="BN670" s="38"/>
      <c r="BO670" s="38"/>
      <c r="BP670" s="38"/>
      <c r="BQ670" s="38"/>
      <c r="BR670" s="38"/>
    </row>
    <row r="671" spans="1:70">
      <c r="A671" s="38"/>
      <c r="B671" s="38"/>
      <c r="C671" s="43"/>
      <c r="D671" s="38"/>
      <c r="E671" s="38"/>
      <c r="F671" s="43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8"/>
      <c r="AJ671" s="38"/>
      <c r="AK671" s="38"/>
      <c r="AL671" s="38"/>
      <c r="AM671" s="38"/>
      <c r="AN671" s="38"/>
      <c r="AO671" s="38"/>
      <c r="AP671" s="38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  <c r="BA671" s="38"/>
      <c r="BB671" s="38"/>
      <c r="BC671" s="38"/>
      <c r="BD671" s="38"/>
      <c r="BE671" s="38"/>
      <c r="BF671" s="38"/>
      <c r="BG671" s="38"/>
      <c r="BH671" s="38"/>
      <c r="BI671" s="38"/>
      <c r="BJ671" s="38"/>
      <c r="BK671" s="38"/>
      <c r="BL671" s="38"/>
      <c r="BM671" s="38"/>
      <c r="BN671" s="38"/>
      <c r="BO671" s="38"/>
      <c r="BP671" s="38"/>
      <c r="BQ671" s="38"/>
      <c r="BR671" s="38"/>
    </row>
    <row r="672" spans="1:70">
      <c r="A672" s="38"/>
      <c r="B672" s="38"/>
      <c r="C672" s="43"/>
      <c r="D672" s="38"/>
      <c r="E672" s="38"/>
      <c r="F672" s="43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8"/>
      <c r="AJ672" s="38"/>
      <c r="AK672" s="38"/>
      <c r="AL672" s="38"/>
      <c r="AM672" s="38"/>
      <c r="AN672" s="38"/>
      <c r="AO672" s="38"/>
      <c r="AP672" s="38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  <c r="BA672" s="38"/>
      <c r="BB672" s="38"/>
      <c r="BC672" s="38"/>
      <c r="BD672" s="38"/>
      <c r="BE672" s="38"/>
      <c r="BF672" s="38"/>
      <c r="BG672" s="38"/>
      <c r="BH672" s="38"/>
      <c r="BI672" s="38"/>
      <c r="BJ672" s="38"/>
      <c r="BK672" s="38"/>
      <c r="BL672" s="38"/>
      <c r="BM672" s="38"/>
      <c r="BN672" s="38"/>
      <c r="BO672" s="38"/>
      <c r="BP672" s="38"/>
      <c r="BQ672" s="38"/>
      <c r="BR672" s="38"/>
    </row>
    <row r="673" spans="1:70">
      <c r="A673" s="38"/>
      <c r="B673" s="38"/>
      <c r="C673" s="43"/>
      <c r="D673" s="38"/>
      <c r="E673" s="38"/>
      <c r="F673" s="43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8"/>
      <c r="AJ673" s="38"/>
      <c r="AK673" s="38"/>
      <c r="AL673" s="38"/>
      <c r="AM673" s="38"/>
      <c r="AN673" s="38"/>
      <c r="AO673" s="38"/>
      <c r="AP673" s="38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  <c r="BA673" s="38"/>
      <c r="BB673" s="38"/>
      <c r="BC673" s="38"/>
      <c r="BD673" s="38"/>
      <c r="BE673" s="38"/>
      <c r="BF673" s="38"/>
      <c r="BG673" s="38"/>
      <c r="BH673" s="38"/>
      <c r="BI673" s="38"/>
      <c r="BJ673" s="38"/>
      <c r="BK673" s="38"/>
      <c r="BL673" s="38"/>
      <c r="BM673" s="38"/>
      <c r="BN673" s="38"/>
      <c r="BO673" s="38"/>
      <c r="BP673" s="38"/>
      <c r="BQ673" s="38"/>
      <c r="BR673" s="38"/>
    </row>
    <row r="674" spans="1:70">
      <c r="A674" s="38"/>
      <c r="B674" s="38"/>
      <c r="C674" s="43"/>
      <c r="D674" s="38"/>
      <c r="E674" s="38"/>
      <c r="F674" s="43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8"/>
      <c r="AJ674" s="38"/>
      <c r="AK674" s="38"/>
      <c r="AL674" s="38"/>
      <c r="AM674" s="38"/>
      <c r="AN674" s="38"/>
      <c r="AO674" s="38"/>
      <c r="AP674" s="38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  <c r="BA674" s="38"/>
      <c r="BB674" s="38"/>
      <c r="BC674" s="38"/>
      <c r="BD674" s="38"/>
      <c r="BE674" s="38"/>
      <c r="BF674" s="38"/>
      <c r="BG674" s="38"/>
      <c r="BH674" s="38"/>
      <c r="BI674" s="38"/>
      <c r="BJ674" s="38"/>
      <c r="BK674" s="38"/>
      <c r="BL674" s="38"/>
      <c r="BM674" s="38"/>
      <c r="BN674" s="38"/>
      <c r="BO674" s="38"/>
      <c r="BP674" s="38"/>
      <c r="BQ674" s="38"/>
      <c r="BR674" s="38"/>
    </row>
    <row r="675" spans="1:70">
      <c r="A675" s="38"/>
      <c r="B675" s="38"/>
      <c r="C675" s="43"/>
      <c r="D675" s="38"/>
      <c r="E675" s="38"/>
      <c r="F675" s="43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8"/>
      <c r="AJ675" s="38"/>
      <c r="AK675" s="38"/>
      <c r="AL675" s="38"/>
      <c r="AM675" s="38"/>
      <c r="AN675" s="38"/>
      <c r="AO675" s="38"/>
      <c r="AP675" s="38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  <c r="BA675" s="38"/>
      <c r="BB675" s="38"/>
      <c r="BC675" s="38"/>
      <c r="BD675" s="38"/>
      <c r="BE675" s="38"/>
      <c r="BF675" s="38"/>
      <c r="BG675" s="38"/>
      <c r="BH675" s="38"/>
      <c r="BI675" s="38"/>
      <c r="BJ675" s="38"/>
      <c r="BK675" s="38"/>
      <c r="BL675" s="38"/>
      <c r="BM675" s="38"/>
      <c r="BN675" s="38"/>
      <c r="BO675" s="38"/>
      <c r="BP675" s="38"/>
      <c r="BQ675" s="38"/>
      <c r="BR675" s="38"/>
    </row>
    <row r="676" spans="1:70">
      <c r="A676" s="38"/>
      <c r="B676" s="38"/>
      <c r="C676" s="43"/>
      <c r="D676" s="38"/>
      <c r="E676" s="38"/>
      <c r="F676" s="43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8"/>
      <c r="AJ676" s="38"/>
      <c r="AK676" s="38"/>
      <c r="AL676" s="38"/>
      <c r="AM676" s="38"/>
      <c r="AN676" s="38"/>
      <c r="AO676" s="38"/>
      <c r="AP676" s="38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  <c r="BA676" s="38"/>
      <c r="BB676" s="38"/>
      <c r="BC676" s="38"/>
      <c r="BD676" s="38"/>
      <c r="BE676" s="38"/>
      <c r="BF676" s="38"/>
      <c r="BG676" s="38"/>
      <c r="BH676" s="38"/>
      <c r="BI676" s="38"/>
      <c r="BJ676" s="38"/>
      <c r="BK676" s="38"/>
      <c r="BL676" s="38"/>
      <c r="BM676" s="38"/>
      <c r="BN676" s="38"/>
      <c r="BO676" s="38"/>
      <c r="BP676" s="38"/>
      <c r="BQ676" s="38"/>
      <c r="BR676" s="38"/>
    </row>
    <row r="677" spans="1:70">
      <c r="A677" s="38"/>
      <c r="B677" s="38"/>
      <c r="C677" s="43"/>
      <c r="D677" s="38"/>
      <c r="E677" s="38"/>
      <c r="F677" s="43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8"/>
      <c r="AJ677" s="38"/>
      <c r="AK677" s="38"/>
      <c r="AL677" s="38"/>
      <c r="AM677" s="38"/>
      <c r="AN677" s="38"/>
      <c r="AO677" s="38"/>
      <c r="AP677" s="38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  <c r="BA677" s="38"/>
      <c r="BB677" s="38"/>
      <c r="BC677" s="38"/>
      <c r="BD677" s="38"/>
      <c r="BE677" s="38"/>
      <c r="BF677" s="38"/>
      <c r="BG677" s="38"/>
      <c r="BH677" s="38"/>
      <c r="BI677" s="38"/>
      <c r="BJ677" s="38"/>
      <c r="BK677" s="38"/>
      <c r="BL677" s="38"/>
      <c r="BM677" s="38"/>
      <c r="BN677" s="38"/>
      <c r="BO677" s="38"/>
      <c r="BP677" s="38"/>
      <c r="BQ677" s="38"/>
      <c r="BR677" s="38"/>
    </row>
    <row r="678" spans="1:70">
      <c r="A678" s="38"/>
      <c r="B678" s="38"/>
      <c r="C678" s="43"/>
      <c r="D678" s="38"/>
      <c r="E678" s="38"/>
      <c r="F678" s="43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8"/>
      <c r="AJ678" s="38"/>
      <c r="AK678" s="38"/>
      <c r="AL678" s="38"/>
      <c r="AM678" s="38"/>
      <c r="AN678" s="38"/>
      <c r="AO678" s="38"/>
      <c r="AP678" s="38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  <c r="BA678" s="38"/>
      <c r="BB678" s="38"/>
      <c r="BC678" s="38"/>
      <c r="BD678" s="38"/>
      <c r="BE678" s="38"/>
      <c r="BF678" s="38"/>
      <c r="BG678" s="38"/>
      <c r="BH678" s="38"/>
      <c r="BI678" s="38"/>
      <c r="BJ678" s="38"/>
      <c r="BK678" s="38"/>
      <c r="BL678" s="38"/>
      <c r="BM678" s="38"/>
      <c r="BN678" s="38"/>
      <c r="BO678" s="38"/>
      <c r="BP678" s="38"/>
      <c r="BQ678" s="38"/>
      <c r="BR678" s="38"/>
    </row>
    <row r="679" spans="1:70">
      <c r="A679" s="38"/>
      <c r="B679" s="38"/>
      <c r="C679" s="43"/>
      <c r="D679" s="38"/>
      <c r="E679" s="38"/>
      <c r="F679" s="43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  <c r="AI679" s="38"/>
      <c r="AJ679" s="38"/>
      <c r="AK679" s="38"/>
      <c r="AL679" s="38"/>
      <c r="AM679" s="38"/>
      <c r="AN679" s="38"/>
      <c r="AO679" s="38"/>
      <c r="AP679" s="38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  <c r="BA679" s="38"/>
      <c r="BB679" s="38"/>
      <c r="BC679" s="38"/>
      <c r="BD679" s="38"/>
      <c r="BE679" s="38"/>
      <c r="BF679" s="38"/>
      <c r="BG679" s="38"/>
      <c r="BH679" s="38"/>
      <c r="BI679" s="38"/>
      <c r="BJ679" s="38"/>
      <c r="BK679" s="38"/>
      <c r="BL679" s="38"/>
      <c r="BM679" s="38"/>
      <c r="BN679" s="38"/>
      <c r="BO679" s="38"/>
      <c r="BP679" s="38"/>
      <c r="BQ679" s="38"/>
      <c r="BR679" s="38"/>
    </row>
    <row r="680" spans="1:70">
      <c r="A680" s="38"/>
      <c r="B680" s="38"/>
      <c r="C680" s="43"/>
      <c r="D680" s="38"/>
      <c r="E680" s="38"/>
      <c r="F680" s="43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8"/>
      <c r="AJ680" s="38"/>
      <c r="AK680" s="38"/>
      <c r="AL680" s="38"/>
      <c r="AM680" s="38"/>
      <c r="AN680" s="38"/>
      <c r="AO680" s="38"/>
      <c r="AP680" s="38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  <c r="BA680" s="38"/>
      <c r="BB680" s="38"/>
      <c r="BC680" s="38"/>
      <c r="BD680" s="38"/>
      <c r="BE680" s="38"/>
      <c r="BF680" s="38"/>
      <c r="BG680" s="38"/>
      <c r="BH680" s="38"/>
      <c r="BI680" s="38"/>
      <c r="BJ680" s="38"/>
      <c r="BK680" s="38"/>
      <c r="BL680" s="38"/>
      <c r="BM680" s="38"/>
      <c r="BN680" s="38"/>
      <c r="BO680" s="38"/>
      <c r="BP680" s="38"/>
      <c r="BQ680" s="38"/>
      <c r="BR680" s="38"/>
    </row>
    <row r="681" spans="1:70">
      <c r="A681" s="38"/>
      <c r="B681" s="38"/>
      <c r="C681" s="43"/>
      <c r="D681" s="38"/>
      <c r="E681" s="38"/>
      <c r="F681" s="43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8"/>
      <c r="AJ681" s="38"/>
      <c r="AK681" s="38"/>
      <c r="AL681" s="38"/>
      <c r="AM681" s="38"/>
      <c r="AN681" s="38"/>
      <c r="AO681" s="38"/>
      <c r="AP681" s="38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  <c r="BA681" s="38"/>
      <c r="BB681" s="38"/>
      <c r="BC681" s="38"/>
      <c r="BD681" s="38"/>
      <c r="BE681" s="38"/>
      <c r="BF681" s="38"/>
      <c r="BG681" s="38"/>
      <c r="BH681" s="38"/>
      <c r="BI681" s="38"/>
      <c r="BJ681" s="38"/>
      <c r="BK681" s="38"/>
      <c r="BL681" s="38"/>
      <c r="BM681" s="38"/>
      <c r="BN681" s="38"/>
      <c r="BO681" s="38"/>
      <c r="BP681" s="38"/>
      <c r="BQ681" s="38"/>
      <c r="BR681" s="38"/>
    </row>
    <row r="682" spans="1:70">
      <c r="A682" s="38"/>
      <c r="B682" s="38"/>
      <c r="C682" s="43"/>
      <c r="D682" s="38"/>
      <c r="E682" s="38"/>
      <c r="F682" s="43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8"/>
      <c r="AJ682" s="38"/>
      <c r="AK682" s="38"/>
      <c r="AL682" s="38"/>
      <c r="AM682" s="38"/>
      <c r="AN682" s="38"/>
      <c r="AO682" s="38"/>
      <c r="AP682" s="38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  <c r="BA682" s="38"/>
      <c r="BB682" s="38"/>
      <c r="BC682" s="38"/>
      <c r="BD682" s="38"/>
      <c r="BE682" s="38"/>
      <c r="BF682" s="38"/>
      <c r="BG682" s="38"/>
      <c r="BH682" s="38"/>
      <c r="BI682" s="38"/>
      <c r="BJ682" s="38"/>
      <c r="BK682" s="38"/>
      <c r="BL682" s="38"/>
      <c r="BM682" s="38"/>
      <c r="BN682" s="38"/>
      <c r="BO682" s="38"/>
      <c r="BP682" s="38"/>
      <c r="BQ682" s="38"/>
      <c r="BR682" s="38"/>
    </row>
    <row r="683" spans="1:70">
      <c r="A683" s="38"/>
      <c r="B683" s="38"/>
      <c r="C683" s="43"/>
      <c r="D683" s="38"/>
      <c r="E683" s="38"/>
      <c r="F683" s="43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8"/>
      <c r="AJ683" s="38"/>
      <c r="AK683" s="38"/>
      <c r="AL683" s="38"/>
      <c r="AM683" s="38"/>
      <c r="AN683" s="38"/>
      <c r="AO683" s="38"/>
      <c r="AP683" s="38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  <c r="BA683" s="38"/>
      <c r="BB683" s="38"/>
      <c r="BC683" s="38"/>
      <c r="BD683" s="38"/>
      <c r="BE683" s="38"/>
      <c r="BF683" s="38"/>
      <c r="BG683" s="38"/>
      <c r="BH683" s="38"/>
      <c r="BI683" s="38"/>
      <c r="BJ683" s="38"/>
      <c r="BK683" s="38"/>
      <c r="BL683" s="38"/>
      <c r="BM683" s="38"/>
      <c r="BN683" s="38"/>
      <c r="BO683" s="38"/>
      <c r="BP683" s="38"/>
      <c r="BQ683" s="38"/>
      <c r="BR683" s="38"/>
    </row>
    <row r="684" spans="1:70">
      <c r="A684" s="38"/>
      <c r="B684" s="38"/>
      <c r="C684" s="43"/>
      <c r="D684" s="38"/>
      <c r="E684" s="38"/>
      <c r="F684" s="43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8"/>
      <c r="AJ684" s="38"/>
      <c r="AK684" s="38"/>
      <c r="AL684" s="38"/>
      <c r="AM684" s="38"/>
      <c r="AN684" s="38"/>
      <c r="AO684" s="38"/>
      <c r="AP684" s="38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  <c r="BA684" s="38"/>
      <c r="BB684" s="38"/>
      <c r="BC684" s="38"/>
      <c r="BD684" s="38"/>
      <c r="BE684" s="38"/>
      <c r="BF684" s="38"/>
      <c r="BG684" s="38"/>
      <c r="BH684" s="38"/>
      <c r="BI684" s="38"/>
      <c r="BJ684" s="38"/>
      <c r="BK684" s="38"/>
      <c r="BL684" s="38"/>
      <c r="BM684" s="38"/>
      <c r="BN684" s="38"/>
      <c r="BO684" s="38"/>
      <c r="BP684" s="38"/>
      <c r="BQ684" s="38"/>
      <c r="BR684" s="38"/>
    </row>
    <row r="685" spans="1:70">
      <c r="A685" s="38"/>
      <c r="B685" s="38"/>
      <c r="C685" s="43"/>
      <c r="D685" s="38"/>
      <c r="E685" s="38"/>
      <c r="F685" s="43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8"/>
      <c r="AJ685" s="38"/>
      <c r="AK685" s="38"/>
      <c r="AL685" s="38"/>
      <c r="AM685" s="38"/>
      <c r="AN685" s="38"/>
      <c r="AO685" s="38"/>
      <c r="AP685" s="38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  <c r="BA685" s="38"/>
      <c r="BB685" s="38"/>
      <c r="BC685" s="38"/>
      <c r="BD685" s="38"/>
      <c r="BE685" s="38"/>
      <c r="BF685" s="38"/>
      <c r="BG685" s="38"/>
      <c r="BH685" s="38"/>
      <c r="BI685" s="38"/>
      <c r="BJ685" s="38"/>
      <c r="BK685" s="38"/>
      <c r="BL685" s="38"/>
      <c r="BM685" s="38"/>
      <c r="BN685" s="38"/>
      <c r="BO685" s="38"/>
      <c r="BP685" s="38"/>
      <c r="BQ685" s="38"/>
      <c r="BR685" s="38"/>
    </row>
    <row r="686" spans="1:70">
      <c r="A686" s="38"/>
      <c r="B686" s="38"/>
      <c r="C686" s="43"/>
      <c r="D686" s="38"/>
      <c r="E686" s="38"/>
      <c r="F686" s="43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8"/>
      <c r="AJ686" s="38"/>
      <c r="AK686" s="38"/>
      <c r="AL686" s="38"/>
      <c r="AM686" s="38"/>
      <c r="AN686" s="38"/>
      <c r="AO686" s="38"/>
      <c r="AP686" s="38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  <c r="BA686" s="38"/>
      <c r="BB686" s="38"/>
      <c r="BC686" s="38"/>
      <c r="BD686" s="38"/>
      <c r="BE686" s="38"/>
      <c r="BF686" s="38"/>
      <c r="BG686" s="38"/>
      <c r="BH686" s="38"/>
      <c r="BI686" s="38"/>
      <c r="BJ686" s="38"/>
      <c r="BK686" s="38"/>
      <c r="BL686" s="38"/>
      <c r="BM686" s="38"/>
      <c r="BN686" s="38"/>
      <c r="BO686" s="38"/>
      <c r="BP686" s="38"/>
      <c r="BQ686" s="38"/>
      <c r="BR686" s="38"/>
    </row>
    <row r="687" spans="1:70">
      <c r="A687" s="38"/>
      <c r="B687" s="38"/>
      <c r="C687" s="43"/>
      <c r="D687" s="38"/>
      <c r="E687" s="38"/>
      <c r="F687" s="43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8"/>
      <c r="AJ687" s="38"/>
      <c r="AK687" s="38"/>
      <c r="AL687" s="38"/>
      <c r="AM687" s="38"/>
      <c r="AN687" s="38"/>
      <c r="AO687" s="38"/>
      <c r="AP687" s="38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  <c r="BA687" s="38"/>
      <c r="BB687" s="38"/>
      <c r="BC687" s="38"/>
      <c r="BD687" s="38"/>
      <c r="BE687" s="38"/>
      <c r="BF687" s="38"/>
      <c r="BG687" s="38"/>
      <c r="BH687" s="38"/>
      <c r="BI687" s="38"/>
      <c r="BJ687" s="38"/>
      <c r="BK687" s="38"/>
      <c r="BL687" s="38"/>
      <c r="BM687" s="38"/>
      <c r="BN687" s="38"/>
      <c r="BO687" s="38"/>
      <c r="BP687" s="38"/>
      <c r="BQ687" s="38"/>
      <c r="BR687" s="38"/>
    </row>
    <row r="688" spans="1:70">
      <c r="A688" s="38"/>
      <c r="B688" s="38"/>
      <c r="C688" s="43"/>
      <c r="D688" s="38"/>
      <c r="E688" s="38"/>
      <c r="F688" s="43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8"/>
      <c r="AJ688" s="38"/>
      <c r="AK688" s="38"/>
      <c r="AL688" s="38"/>
      <c r="AM688" s="38"/>
      <c r="AN688" s="38"/>
      <c r="AO688" s="38"/>
      <c r="AP688" s="38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  <c r="BA688" s="38"/>
      <c r="BB688" s="38"/>
      <c r="BC688" s="38"/>
      <c r="BD688" s="38"/>
      <c r="BE688" s="38"/>
      <c r="BF688" s="38"/>
      <c r="BG688" s="38"/>
      <c r="BH688" s="38"/>
      <c r="BI688" s="38"/>
      <c r="BJ688" s="38"/>
      <c r="BK688" s="38"/>
      <c r="BL688" s="38"/>
      <c r="BM688" s="38"/>
      <c r="BN688" s="38"/>
      <c r="BO688" s="38"/>
      <c r="BP688" s="38"/>
      <c r="BQ688" s="38"/>
      <c r="BR688" s="38"/>
    </row>
    <row r="689" spans="1:70">
      <c r="A689" s="38"/>
      <c r="B689" s="38"/>
      <c r="C689" s="43"/>
      <c r="D689" s="38"/>
      <c r="E689" s="38"/>
      <c r="F689" s="43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8"/>
      <c r="AJ689" s="38"/>
      <c r="AK689" s="38"/>
      <c r="AL689" s="38"/>
      <c r="AM689" s="38"/>
      <c r="AN689" s="38"/>
      <c r="AO689" s="38"/>
      <c r="AP689" s="38"/>
      <c r="AQ689" s="38"/>
      <c r="AR689" s="38"/>
      <c r="AS689" s="38"/>
      <c r="AT689" s="38"/>
      <c r="AU689" s="38"/>
      <c r="AV689" s="38"/>
      <c r="AW689" s="38"/>
      <c r="AX689" s="38"/>
      <c r="AY689" s="38"/>
      <c r="AZ689" s="38"/>
      <c r="BA689" s="38"/>
      <c r="BB689" s="38"/>
      <c r="BC689" s="38"/>
      <c r="BD689" s="38"/>
      <c r="BE689" s="38"/>
      <c r="BF689" s="38"/>
      <c r="BG689" s="38"/>
      <c r="BH689" s="38"/>
      <c r="BI689" s="38"/>
      <c r="BJ689" s="38"/>
      <c r="BK689" s="38"/>
      <c r="BL689" s="38"/>
      <c r="BM689" s="38"/>
      <c r="BN689" s="38"/>
      <c r="BO689" s="38"/>
      <c r="BP689" s="38"/>
      <c r="BQ689" s="38"/>
      <c r="BR689" s="38"/>
    </row>
    <row r="690" spans="1:70">
      <c r="A690" s="38"/>
      <c r="B690" s="38"/>
      <c r="C690" s="43"/>
      <c r="D690" s="38"/>
      <c r="E690" s="38"/>
      <c r="F690" s="43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8"/>
      <c r="AJ690" s="38"/>
      <c r="AK690" s="38"/>
      <c r="AL690" s="38"/>
      <c r="AM690" s="38"/>
      <c r="AN690" s="38"/>
      <c r="AO690" s="38"/>
      <c r="AP690" s="38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  <c r="BA690" s="38"/>
      <c r="BB690" s="38"/>
      <c r="BC690" s="38"/>
      <c r="BD690" s="38"/>
      <c r="BE690" s="38"/>
      <c r="BF690" s="38"/>
      <c r="BG690" s="38"/>
      <c r="BH690" s="38"/>
      <c r="BI690" s="38"/>
      <c r="BJ690" s="38"/>
      <c r="BK690" s="38"/>
      <c r="BL690" s="38"/>
      <c r="BM690" s="38"/>
      <c r="BN690" s="38"/>
      <c r="BO690" s="38"/>
      <c r="BP690" s="38"/>
      <c r="BQ690" s="38"/>
      <c r="BR690" s="38"/>
    </row>
    <row r="691" spans="1:70">
      <c r="A691" s="38"/>
      <c r="B691" s="38"/>
      <c r="C691" s="43"/>
      <c r="D691" s="38"/>
      <c r="E691" s="38"/>
      <c r="F691" s="43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8"/>
      <c r="AJ691" s="38"/>
      <c r="AK691" s="38"/>
      <c r="AL691" s="38"/>
      <c r="AM691" s="38"/>
      <c r="AN691" s="38"/>
      <c r="AO691" s="38"/>
      <c r="AP691" s="38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  <c r="BA691" s="38"/>
      <c r="BB691" s="38"/>
      <c r="BC691" s="38"/>
      <c r="BD691" s="38"/>
      <c r="BE691" s="38"/>
      <c r="BF691" s="38"/>
      <c r="BG691" s="38"/>
      <c r="BH691" s="38"/>
      <c r="BI691" s="38"/>
      <c r="BJ691" s="38"/>
      <c r="BK691" s="38"/>
      <c r="BL691" s="38"/>
      <c r="BM691" s="38"/>
      <c r="BN691" s="38"/>
      <c r="BO691" s="38"/>
      <c r="BP691" s="38"/>
      <c r="BQ691" s="38"/>
      <c r="BR691" s="38"/>
    </row>
    <row r="692" spans="1:70">
      <c r="A692" s="38"/>
      <c r="B692" s="38"/>
      <c r="C692" s="43"/>
      <c r="D692" s="38"/>
      <c r="E692" s="38"/>
      <c r="F692" s="43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8"/>
      <c r="AJ692" s="38"/>
      <c r="AK692" s="38"/>
      <c r="AL692" s="38"/>
      <c r="AM692" s="38"/>
      <c r="AN692" s="38"/>
      <c r="AO692" s="38"/>
      <c r="AP692" s="38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  <c r="BA692" s="38"/>
      <c r="BB692" s="38"/>
      <c r="BC692" s="38"/>
      <c r="BD692" s="38"/>
      <c r="BE692" s="38"/>
      <c r="BF692" s="38"/>
      <c r="BG692" s="38"/>
      <c r="BH692" s="38"/>
      <c r="BI692" s="38"/>
      <c r="BJ692" s="38"/>
      <c r="BK692" s="38"/>
      <c r="BL692" s="38"/>
      <c r="BM692" s="38"/>
      <c r="BN692" s="38"/>
      <c r="BO692" s="38"/>
      <c r="BP692" s="38"/>
      <c r="BQ692" s="38"/>
      <c r="BR692" s="38"/>
    </row>
    <row r="693" spans="1:70">
      <c r="A693" s="38"/>
      <c r="B693" s="38"/>
      <c r="C693" s="43"/>
      <c r="D693" s="38"/>
      <c r="E693" s="38"/>
      <c r="F693" s="43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8"/>
      <c r="AJ693" s="38"/>
      <c r="AK693" s="38"/>
      <c r="AL693" s="38"/>
      <c r="AM693" s="38"/>
      <c r="AN693" s="38"/>
      <c r="AO693" s="38"/>
      <c r="AP693" s="38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  <c r="BA693" s="38"/>
      <c r="BB693" s="38"/>
      <c r="BC693" s="38"/>
      <c r="BD693" s="38"/>
      <c r="BE693" s="38"/>
      <c r="BF693" s="38"/>
      <c r="BG693" s="38"/>
      <c r="BH693" s="38"/>
      <c r="BI693" s="38"/>
      <c r="BJ693" s="38"/>
      <c r="BK693" s="38"/>
      <c r="BL693" s="38"/>
      <c r="BM693" s="38"/>
      <c r="BN693" s="38"/>
      <c r="BO693" s="38"/>
      <c r="BP693" s="38"/>
      <c r="BQ693" s="38"/>
      <c r="BR693" s="38"/>
    </row>
    <row r="694" spans="1:70">
      <c r="A694" s="38"/>
      <c r="B694" s="38"/>
      <c r="C694" s="43"/>
      <c r="D694" s="38"/>
      <c r="E694" s="38"/>
      <c r="F694" s="43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8"/>
      <c r="AJ694" s="38"/>
      <c r="AK694" s="38"/>
      <c r="AL694" s="38"/>
      <c r="AM694" s="38"/>
      <c r="AN694" s="38"/>
      <c r="AO694" s="38"/>
      <c r="AP694" s="38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  <c r="BA694" s="38"/>
      <c r="BB694" s="38"/>
      <c r="BC694" s="38"/>
      <c r="BD694" s="38"/>
      <c r="BE694" s="38"/>
      <c r="BF694" s="38"/>
      <c r="BG694" s="38"/>
      <c r="BH694" s="38"/>
      <c r="BI694" s="38"/>
      <c r="BJ694" s="38"/>
      <c r="BK694" s="38"/>
      <c r="BL694" s="38"/>
      <c r="BM694" s="38"/>
      <c r="BN694" s="38"/>
      <c r="BO694" s="38"/>
      <c r="BP694" s="38"/>
      <c r="BQ694" s="38"/>
      <c r="BR694" s="38"/>
    </row>
    <row r="695" spans="1:70">
      <c r="A695" s="38"/>
      <c r="B695" s="38"/>
      <c r="C695" s="43"/>
      <c r="D695" s="38"/>
      <c r="E695" s="38"/>
      <c r="F695" s="43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8"/>
      <c r="AJ695" s="38"/>
      <c r="AK695" s="38"/>
      <c r="AL695" s="38"/>
      <c r="AM695" s="38"/>
      <c r="AN695" s="38"/>
      <c r="AO695" s="38"/>
      <c r="AP695" s="38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  <c r="BA695" s="38"/>
      <c r="BB695" s="38"/>
      <c r="BC695" s="38"/>
      <c r="BD695" s="38"/>
      <c r="BE695" s="38"/>
      <c r="BF695" s="38"/>
      <c r="BG695" s="38"/>
      <c r="BH695" s="38"/>
      <c r="BI695" s="38"/>
      <c r="BJ695" s="38"/>
      <c r="BK695" s="38"/>
      <c r="BL695" s="38"/>
      <c r="BM695" s="38"/>
      <c r="BN695" s="38"/>
      <c r="BO695" s="38"/>
      <c r="BP695" s="38"/>
      <c r="BQ695" s="38"/>
      <c r="BR695" s="38"/>
    </row>
    <row r="696" spans="1:70">
      <c r="A696" s="38"/>
      <c r="B696" s="38"/>
      <c r="C696" s="43"/>
      <c r="D696" s="38"/>
      <c r="E696" s="38"/>
      <c r="F696" s="43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8"/>
      <c r="AJ696" s="38"/>
      <c r="AK696" s="38"/>
      <c r="AL696" s="38"/>
      <c r="AM696" s="38"/>
      <c r="AN696" s="38"/>
      <c r="AO696" s="38"/>
      <c r="AP696" s="38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  <c r="BA696" s="38"/>
      <c r="BB696" s="38"/>
      <c r="BC696" s="38"/>
      <c r="BD696" s="38"/>
      <c r="BE696" s="38"/>
      <c r="BF696" s="38"/>
      <c r="BG696" s="38"/>
      <c r="BH696" s="38"/>
      <c r="BI696" s="38"/>
      <c r="BJ696" s="38"/>
      <c r="BK696" s="38"/>
      <c r="BL696" s="38"/>
      <c r="BM696" s="38"/>
      <c r="BN696" s="38"/>
      <c r="BO696" s="38"/>
      <c r="BP696" s="38"/>
      <c r="BQ696" s="38"/>
      <c r="BR696" s="38"/>
    </row>
    <row r="697" spans="1:70">
      <c r="A697" s="38"/>
      <c r="B697" s="38"/>
      <c r="C697" s="43"/>
      <c r="D697" s="38"/>
      <c r="E697" s="38"/>
      <c r="F697" s="43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8"/>
      <c r="AJ697" s="38"/>
      <c r="AK697" s="38"/>
      <c r="AL697" s="38"/>
      <c r="AM697" s="38"/>
      <c r="AN697" s="38"/>
      <c r="AO697" s="38"/>
      <c r="AP697" s="38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  <c r="BA697" s="38"/>
      <c r="BB697" s="38"/>
      <c r="BC697" s="38"/>
      <c r="BD697" s="38"/>
      <c r="BE697" s="38"/>
      <c r="BF697" s="38"/>
      <c r="BG697" s="38"/>
      <c r="BH697" s="38"/>
      <c r="BI697" s="38"/>
      <c r="BJ697" s="38"/>
      <c r="BK697" s="38"/>
      <c r="BL697" s="38"/>
      <c r="BM697" s="38"/>
      <c r="BN697" s="38"/>
      <c r="BO697" s="38"/>
      <c r="BP697" s="38"/>
      <c r="BQ697" s="38"/>
      <c r="BR697" s="38"/>
    </row>
    <row r="698" spans="1:70">
      <c r="A698" s="38"/>
      <c r="B698" s="38"/>
      <c r="C698" s="43"/>
      <c r="D698" s="38"/>
      <c r="E698" s="38"/>
      <c r="F698" s="43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8"/>
      <c r="AJ698" s="38"/>
      <c r="AK698" s="38"/>
      <c r="AL698" s="38"/>
      <c r="AM698" s="38"/>
      <c r="AN698" s="38"/>
      <c r="AO698" s="38"/>
      <c r="AP698" s="38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  <c r="BA698" s="38"/>
      <c r="BB698" s="38"/>
      <c r="BC698" s="38"/>
      <c r="BD698" s="38"/>
      <c r="BE698" s="38"/>
      <c r="BF698" s="38"/>
      <c r="BG698" s="38"/>
      <c r="BH698" s="38"/>
      <c r="BI698" s="38"/>
      <c r="BJ698" s="38"/>
      <c r="BK698" s="38"/>
      <c r="BL698" s="38"/>
      <c r="BM698" s="38"/>
      <c r="BN698" s="38"/>
      <c r="BO698" s="38"/>
      <c r="BP698" s="38"/>
      <c r="BQ698" s="38"/>
      <c r="BR698" s="38"/>
    </row>
    <row r="699" spans="1:70">
      <c r="A699" s="38"/>
      <c r="B699" s="38"/>
      <c r="C699" s="43"/>
      <c r="D699" s="38"/>
      <c r="E699" s="38"/>
      <c r="F699" s="43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8"/>
      <c r="AJ699" s="38"/>
      <c r="AK699" s="38"/>
      <c r="AL699" s="38"/>
      <c r="AM699" s="38"/>
      <c r="AN699" s="38"/>
      <c r="AO699" s="38"/>
      <c r="AP699" s="38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  <c r="BA699" s="38"/>
      <c r="BB699" s="38"/>
      <c r="BC699" s="38"/>
      <c r="BD699" s="38"/>
      <c r="BE699" s="38"/>
      <c r="BF699" s="38"/>
      <c r="BG699" s="38"/>
      <c r="BH699" s="38"/>
      <c r="BI699" s="38"/>
      <c r="BJ699" s="38"/>
      <c r="BK699" s="38"/>
      <c r="BL699" s="38"/>
      <c r="BM699" s="38"/>
      <c r="BN699" s="38"/>
      <c r="BO699" s="38"/>
      <c r="BP699" s="38"/>
      <c r="BQ699" s="38"/>
      <c r="BR699" s="38"/>
    </row>
    <row r="700" spans="1:70">
      <c r="A700" s="38"/>
      <c r="B700" s="38"/>
      <c r="C700" s="43"/>
      <c r="D700" s="38"/>
      <c r="E700" s="38"/>
      <c r="F700" s="43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8"/>
      <c r="AJ700" s="38"/>
      <c r="AK700" s="38"/>
      <c r="AL700" s="38"/>
      <c r="AM700" s="38"/>
      <c r="AN700" s="38"/>
      <c r="AO700" s="38"/>
      <c r="AP700" s="38"/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  <c r="BA700" s="38"/>
      <c r="BB700" s="38"/>
      <c r="BC700" s="38"/>
      <c r="BD700" s="38"/>
      <c r="BE700" s="38"/>
      <c r="BF700" s="38"/>
      <c r="BG700" s="38"/>
      <c r="BH700" s="38"/>
      <c r="BI700" s="38"/>
      <c r="BJ700" s="38"/>
      <c r="BK700" s="38"/>
      <c r="BL700" s="38"/>
      <c r="BM700" s="38"/>
      <c r="BN700" s="38"/>
      <c r="BO700" s="38"/>
      <c r="BP700" s="38"/>
      <c r="BQ700" s="38"/>
      <c r="BR700" s="38"/>
    </row>
    <row r="701" spans="1:70">
      <c r="A701" s="38"/>
      <c r="B701" s="38"/>
      <c r="C701" s="43"/>
      <c r="D701" s="38"/>
      <c r="E701" s="38"/>
      <c r="F701" s="43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8"/>
      <c r="AJ701" s="38"/>
      <c r="AK701" s="38"/>
      <c r="AL701" s="38"/>
      <c r="AM701" s="38"/>
      <c r="AN701" s="38"/>
      <c r="AO701" s="38"/>
      <c r="AP701" s="38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  <c r="BA701" s="38"/>
      <c r="BB701" s="38"/>
      <c r="BC701" s="38"/>
      <c r="BD701" s="38"/>
      <c r="BE701" s="38"/>
      <c r="BF701" s="38"/>
      <c r="BG701" s="38"/>
      <c r="BH701" s="38"/>
      <c r="BI701" s="38"/>
      <c r="BJ701" s="38"/>
      <c r="BK701" s="38"/>
      <c r="BL701" s="38"/>
      <c r="BM701" s="38"/>
      <c r="BN701" s="38"/>
      <c r="BO701" s="38"/>
      <c r="BP701" s="38"/>
      <c r="BQ701" s="38"/>
      <c r="BR701" s="38"/>
    </row>
    <row r="702" spans="1:70">
      <c r="A702" s="38"/>
      <c r="B702" s="38"/>
      <c r="C702" s="43"/>
      <c r="D702" s="38"/>
      <c r="E702" s="38"/>
      <c r="F702" s="43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8"/>
      <c r="AJ702" s="38"/>
      <c r="AK702" s="38"/>
      <c r="AL702" s="38"/>
      <c r="AM702" s="38"/>
      <c r="AN702" s="38"/>
      <c r="AO702" s="38"/>
      <c r="AP702" s="38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  <c r="BA702" s="38"/>
      <c r="BB702" s="38"/>
      <c r="BC702" s="38"/>
      <c r="BD702" s="38"/>
      <c r="BE702" s="38"/>
      <c r="BF702" s="38"/>
      <c r="BG702" s="38"/>
      <c r="BH702" s="38"/>
      <c r="BI702" s="38"/>
      <c r="BJ702" s="38"/>
      <c r="BK702" s="38"/>
      <c r="BL702" s="38"/>
      <c r="BM702" s="38"/>
      <c r="BN702" s="38"/>
      <c r="BO702" s="38"/>
      <c r="BP702" s="38"/>
      <c r="BQ702" s="38"/>
      <c r="BR702" s="38"/>
    </row>
    <row r="703" spans="1:70">
      <c r="A703" s="38"/>
      <c r="B703" s="38"/>
      <c r="C703" s="43"/>
      <c r="D703" s="38"/>
      <c r="E703" s="38"/>
      <c r="F703" s="43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8"/>
      <c r="AJ703" s="38"/>
      <c r="AK703" s="38"/>
      <c r="AL703" s="38"/>
      <c r="AM703" s="38"/>
      <c r="AN703" s="38"/>
      <c r="AO703" s="38"/>
      <c r="AP703" s="38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  <c r="BA703" s="38"/>
      <c r="BB703" s="38"/>
      <c r="BC703" s="38"/>
      <c r="BD703" s="38"/>
      <c r="BE703" s="38"/>
      <c r="BF703" s="38"/>
      <c r="BG703" s="38"/>
      <c r="BH703" s="38"/>
      <c r="BI703" s="38"/>
      <c r="BJ703" s="38"/>
      <c r="BK703" s="38"/>
      <c r="BL703" s="38"/>
      <c r="BM703" s="38"/>
      <c r="BN703" s="38"/>
      <c r="BO703" s="38"/>
      <c r="BP703" s="38"/>
      <c r="BQ703" s="38"/>
      <c r="BR703" s="38"/>
    </row>
    <row r="704" spans="1:70">
      <c r="A704" s="38"/>
      <c r="B704" s="38"/>
      <c r="C704" s="43"/>
      <c r="D704" s="38"/>
      <c r="E704" s="38"/>
      <c r="F704" s="43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8"/>
      <c r="AJ704" s="38"/>
      <c r="AK704" s="38"/>
      <c r="AL704" s="38"/>
      <c r="AM704" s="38"/>
      <c r="AN704" s="38"/>
      <c r="AO704" s="38"/>
      <c r="AP704" s="38"/>
      <c r="AQ704" s="38"/>
      <c r="AR704" s="38"/>
      <c r="AS704" s="38"/>
      <c r="AT704" s="38"/>
      <c r="AU704" s="38"/>
      <c r="AV704" s="38"/>
      <c r="AW704" s="38"/>
      <c r="AX704" s="38"/>
      <c r="AY704" s="38"/>
      <c r="AZ704" s="38"/>
      <c r="BA704" s="38"/>
      <c r="BB704" s="38"/>
      <c r="BC704" s="38"/>
      <c r="BD704" s="38"/>
      <c r="BE704" s="38"/>
      <c r="BF704" s="38"/>
      <c r="BG704" s="38"/>
      <c r="BH704" s="38"/>
      <c r="BI704" s="38"/>
      <c r="BJ704" s="38"/>
      <c r="BK704" s="38"/>
      <c r="BL704" s="38"/>
      <c r="BM704" s="38"/>
      <c r="BN704" s="38"/>
      <c r="BO704" s="38"/>
      <c r="BP704" s="38"/>
      <c r="BQ704" s="38"/>
      <c r="BR704" s="38"/>
    </row>
    <row r="705" spans="1:70">
      <c r="A705" s="38"/>
      <c r="B705" s="38"/>
      <c r="C705" s="43"/>
      <c r="D705" s="38"/>
      <c r="E705" s="38"/>
      <c r="F705" s="43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8"/>
      <c r="AJ705" s="38"/>
      <c r="AK705" s="38"/>
      <c r="AL705" s="38"/>
      <c r="AM705" s="38"/>
      <c r="AN705" s="38"/>
      <c r="AO705" s="38"/>
      <c r="AP705" s="38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  <c r="BA705" s="38"/>
      <c r="BB705" s="38"/>
      <c r="BC705" s="38"/>
      <c r="BD705" s="38"/>
      <c r="BE705" s="38"/>
      <c r="BF705" s="38"/>
      <c r="BG705" s="38"/>
      <c r="BH705" s="38"/>
      <c r="BI705" s="38"/>
      <c r="BJ705" s="38"/>
      <c r="BK705" s="38"/>
      <c r="BL705" s="38"/>
      <c r="BM705" s="38"/>
      <c r="BN705" s="38"/>
      <c r="BO705" s="38"/>
      <c r="BP705" s="38"/>
      <c r="BQ705" s="38"/>
      <c r="BR705" s="38"/>
    </row>
    <row r="706" spans="1:70">
      <c r="A706" s="38"/>
      <c r="B706" s="38"/>
      <c r="C706" s="43"/>
      <c r="D706" s="38"/>
      <c r="E706" s="38"/>
      <c r="F706" s="43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8"/>
      <c r="AJ706" s="38"/>
      <c r="AK706" s="38"/>
      <c r="AL706" s="38"/>
      <c r="AM706" s="38"/>
      <c r="AN706" s="38"/>
      <c r="AO706" s="38"/>
      <c r="AP706" s="38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  <c r="BA706" s="38"/>
      <c r="BB706" s="38"/>
      <c r="BC706" s="38"/>
      <c r="BD706" s="38"/>
      <c r="BE706" s="38"/>
      <c r="BF706" s="38"/>
      <c r="BG706" s="38"/>
      <c r="BH706" s="38"/>
      <c r="BI706" s="38"/>
      <c r="BJ706" s="38"/>
      <c r="BK706" s="38"/>
      <c r="BL706" s="38"/>
      <c r="BM706" s="38"/>
      <c r="BN706" s="38"/>
      <c r="BO706" s="38"/>
      <c r="BP706" s="38"/>
      <c r="BQ706" s="38"/>
      <c r="BR706" s="38"/>
    </row>
    <row r="707" spans="1:70">
      <c r="A707" s="38"/>
      <c r="B707" s="38"/>
      <c r="C707" s="43"/>
      <c r="D707" s="38"/>
      <c r="E707" s="38"/>
      <c r="F707" s="43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8"/>
      <c r="AJ707" s="38"/>
      <c r="AK707" s="38"/>
      <c r="AL707" s="38"/>
      <c r="AM707" s="38"/>
      <c r="AN707" s="38"/>
      <c r="AO707" s="38"/>
      <c r="AP707" s="38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  <c r="BA707" s="38"/>
      <c r="BB707" s="38"/>
      <c r="BC707" s="38"/>
      <c r="BD707" s="38"/>
      <c r="BE707" s="38"/>
      <c r="BF707" s="38"/>
      <c r="BG707" s="38"/>
      <c r="BH707" s="38"/>
      <c r="BI707" s="38"/>
      <c r="BJ707" s="38"/>
      <c r="BK707" s="38"/>
      <c r="BL707" s="38"/>
      <c r="BM707" s="38"/>
      <c r="BN707" s="38"/>
      <c r="BO707" s="38"/>
      <c r="BP707" s="38"/>
      <c r="BQ707" s="38"/>
      <c r="BR707" s="38"/>
    </row>
    <row r="708" spans="1:70">
      <c r="A708" s="38"/>
      <c r="B708" s="38"/>
      <c r="C708" s="43"/>
      <c r="D708" s="38"/>
      <c r="E708" s="38"/>
      <c r="F708" s="43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8"/>
      <c r="AJ708" s="38"/>
      <c r="AK708" s="38"/>
      <c r="AL708" s="38"/>
      <c r="AM708" s="38"/>
      <c r="AN708" s="38"/>
      <c r="AO708" s="38"/>
      <c r="AP708" s="38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  <c r="BA708" s="38"/>
      <c r="BB708" s="38"/>
      <c r="BC708" s="38"/>
      <c r="BD708" s="38"/>
      <c r="BE708" s="38"/>
      <c r="BF708" s="38"/>
      <c r="BG708" s="38"/>
      <c r="BH708" s="38"/>
      <c r="BI708" s="38"/>
      <c r="BJ708" s="38"/>
      <c r="BK708" s="38"/>
      <c r="BL708" s="38"/>
      <c r="BM708" s="38"/>
      <c r="BN708" s="38"/>
      <c r="BO708" s="38"/>
      <c r="BP708" s="38"/>
      <c r="BQ708" s="38"/>
      <c r="BR708" s="38"/>
    </row>
    <row r="709" spans="1:70">
      <c r="A709" s="38"/>
      <c r="B709" s="38"/>
      <c r="C709" s="43"/>
      <c r="D709" s="38"/>
      <c r="E709" s="38"/>
      <c r="F709" s="43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8"/>
      <c r="AJ709" s="38"/>
      <c r="AK709" s="38"/>
      <c r="AL709" s="38"/>
      <c r="AM709" s="38"/>
      <c r="AN709" s="38"/>
      <c r="AO709" s="38"/>
      <c r="AP709" s="38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  <c r="BA709" s="38"/>
      <c r="BB709" s="38"/>
      <c r="BC709" s="38"/>
      <c r="BD709" s="38"/>
      <c r="BE709" s="38"/>
      <c r="BF709" s="38"/>
      <c r="BG709" s="38"/>
      <c r="BH709" s="38"/>
      <c r="BI709" s="38"/>
      <c r="BJ709" s="38"/>
      <c r="BK709" s="38"/>
      <c r="BL709" s="38"/>
      <c r="BM709" s="38"/>
      <c r="BN709" s="38"/>
      <c r="BO709" s="38"/>
      <c r="BP709" s="38"/>
      <c r="BQ709" s="38"/>
      <c r="BR709" s="38"/>
    </row>
    <row r="710" spans="1:70">
      <c r="A710" s="38"/>
      <c r="B710" s="38"/>
      <c r="C710" s="43"/>
      <c r="D710" s="38"/>
      <c r="E710" s="38"/>
      <c r="F710" s="43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8"/>
      <c r="AJ710" s="38"/>
      <c r="AK710" s="38"/>
      <c r="AL710" s="38"/>
      <c r="AM710" s="38"/>
      <c r="AN710" s="38"/>
      <c r="AO710" s="38"/>
      <c r="AP710" s="38"/>
      <c r="AQ710" s="38"/>
      <c r="AR710" s="38"/>
      <c r="AS710" s="38"/>
      <c r="AT710" s="38"/>
      <c r="AU710" s="38"/>
      <c r="AV710" s="38"/>
      <c r="AW710" s="38"/>
      <c r="AX710" s="38"/>
      <c r="AY710" s="38"/>
      <c r="AZ710" s="38"/>
      <c r="BA710" s="38"/>
      <c r="BB710" s="38"/>
      <c r="BC710" s="38"/>
      <c r="BD710" s="38"/>
      <c r="BE710" s="38"/>
      <c r="BF710" s="38"/>
      <c r="BG710" s="38"/>
      <c r="BH710" s="38"/>
      <c r="BI710" s="38"/>
      <c r="BJ710" s="38"/>
      <c r="BK710" s="38"/>
      <c r="BL710" s="38"/>
      <c r="BM710" s="38"/>
      <c r="BN710" s="38"/>
      <c r="BO710" s="38"/>
      <c r="BP710" s="38"/>
      <c r="BQ710" s="38"/>
      <c r="BR710" s="38"/>
    </row>
    <row r="711" spans="1:70">
      <c r="A711" s="38"/>
      <c r="B711" s="38"/>
      <c r="C711" s="43"/>
      <c r="D711" s="38"/>
      <c r="E711" s="38"/>
      <c r="F711" s="43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8"/>
      <c r="AJ711" s="38"/>
      <c r="AK711" s="38"/>
      <c r="AL711" s="38"/>
      <c r="AM711" s="38"/>
      <c r="AN711" s="38"/>
      <c r="AO711" s="38"/>
      <c r="AP711" s="38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  <c r="BA711" s="38"/>
      <c r="BB711" s="38"/>
      <c r="BC711" s="38"/>
      <c r="BD711" s="38"/>
      <c r="BE711" s="38"/>
      <c r="BF711" s="38"/>
      <c r="BG711" s="38"/>
      <c r="BH711" s="38"/>
      <c r="BI711" s="38"/>
      <c r="BJ711" s="38"/>
      <c r="BK711" s="38"/>
      <c r="BL711" s="38"/>
      <c r="BM711" s="38"/>
      <c r="BN711" s="38"/>
      <c r="BO711" s="38"/>
      <c r="BP711" s="38"/>
      <c r="BQ711" s="38"/>
      <c r="BR711" s="38"/>
    </row>
    <row r="712" spans="1:70">
      <c r="A712" s="38"/>
      <c r="B712" s="38"/>
      <c r="C712" s="43"/>
      <c r="D712" s="38"/>
      <c r="E712" s="38"/>
      <c r="F712" s="43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8"/>
      <c r="AJ712" s="38"/>
      <c r="AK712" s="38"/>
      <c r="AL712" s="38"/>
      <c r="AM712" s="38"/>
      <c r="AN712" s="38"/>
      <c r="AO712" s="38"/>
      <c r="AP712" s="38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  <c r="BA712" s="38"/>
      <c r="BB712" s="38"/>
      <c r="BC712" s="38"/>
      <c r="BD712" s="38"/>
      <c r="BE712" s="38"/>
      <c r="BF712" s="38"/>
      <c r="BG712" s="38"/>
      <c r="BH712" s="38"/>
      <c r="BI712" s="38"/>
      <c r="BJ712" s="38"/>
      <c r="BK712" s="38"/>
      <c r="BL712" s="38"/>
      <c r="BM712" s="38"/>
      <c r="BN712" s="38"/>
      <c r="BO712" s="38"/>
      <c r="BP712" s="38"/>
      <c r="BQ712" s="38"/>
      <c r="BR712" s="38"/>
    </row>
    <row r="713" spans="1:70">
      <c r="A713" s="38"/>
      <c r="B713" s="38"/>
      <c r="C713" s="43"/>
      <c r="D713" s="38"/>
      <c r="E713" s="38"/>
      <c r="F713" s="43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8"/>
      <c r="AJ713" s="38"/>
      <c r="AK713" s="38"/>
      <c r="AL713" s="38"/>
      <c r="AM713" s="38"/>
      <c r="AN713" s="38"/>
      <c r="AO713" s="38"/>
      <c r="AP713" s="38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  <c r="BA713" s="38"/>
      <c r="BB713" s="38"/>
      <c r="BC713" s="38"/>
      <c r="BD713" s="38"/>
      <c r="BE713" s="38"/>
      <c r="BF713" s="38"/>
      <c r="BG713" s="38"/>
      <c r="BH713" s="38"/>
      <c r="BI713" s="38"/>
      <c r="BJ713" s="38"/>
      <c r="BK713" s="38"/>
      <c r="BL713" s="38"/>
      <c r="BM713" s="38"/>
      <c r="BN713" s="38"/>
      <c r="BO713" s="38"/>
      <c r="BP713" s="38"/>
      <c r="BQ713" s="38"/>
      <c r="BR713" s="38"/>
    </row>
    <row r="714" spans="1:70">
      <c r="A714" s="38"/>
      <c r="B714" s="38"/>
      <c r="C714" s="43"/>
      <c r="D714" s="38"/>
      <c r="E714" s="38"/>
      <c r="F714" s="43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8"/>
      <c r="AJ714" s="38"/>
      <c r="AK714" s="38"/>
      <c r="AL714" s="38"/>
      <c r="AM714" s="38"/>
      <c r="AN714" s="38"/>
      <c r="AO714" s="38"/>
      <c r="AP714" s="38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  <c r="BA714" s="38"/>
      <c r="BB714" s="38"/>
      <c r="BC714" s="38"/>
      <c r="BD714" s="38"/>
      <c r="BE714" s="38"/>
      <c r="BF714" s="38"/>
      <c r="BG714" s="38"/>
      <c r="BH714" s="38"/>
      <c r="BI714" s="38"/>
      <c r="BJ714" s="38"/>
      <c r="BK714" s="38"/>
      <c r="BL714" s="38"/>
      <c r="BM714" s="38"/>
      <c r="BN714" s="38"/>
      <c r="BO714" s="38"/>
      <c r="BP714" s="38"/>
      <c r="BQ714" s="38"/>
      <c r="BR714" s="38"/>
    </row>
    <row r="715" spans="1:70">
      <c r="A715" s="38"/>
      <c r="B715" s="38"/>
      <c r="C715" s="43"/>
      <c r="D715" s="38"/>
      <c r="E715" s="38"/>
      <c r="F715" s="43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8"/>
      <c r="AJ715" s="38"/>
      <c r="AK715" s="38"/>
      <c r="AL715" s="38"/>
      <c r="AM715" s="38"/>
      <c r="AN715" s="38"/>
      <c r="AO715" s="38"/>
      <c r="AP715" s="38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  <c r="BA715" s="38"/>
      <c r="BB715" s="38"/>
      <c r="BC715" s="38"/>
      <c r="BD715" s="38"/>
      <c r="BE715" s="38"/>
      <c r="BF715" s="38"/>
      <c r="BG715" s="38"/>
      <c r="BH715" s="38"/>
      <c r="BI715" s="38"/>
      <c r="BJ715" s="38"/>
      <c r="BK715" s="38"/>
      <c r="BL715" s="38"/>
      <c r="BM715" s="38"/>
      <c r="BN715" s="38"/>
      <c r="BO715" s="38"/>
      <c r="BP715" s="38"/>
      <c r="BQ715" s="38"/>
      <c r="BR715" s="38"/>
    </row>
    <row r="716" spans="1:70">
      <c r="A716" s="38"/>
      <c r="B716" s="38"/>
      <c r="C716" s="43"/>
      <c r="D716" s="38"/>
      <c r="E716" s="38"/>
      <c r="F716" s="43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8"/>
      <c r="AJ716" s="38"/>
      <c r="AK716" s="38"/>
      <c r="AL716" s="38"/>
      <c r="AM716" s="38"/>
      <c r="AN716" s="38"/>
      <c r="AO716" s="38"/>
      <c r="AP716" s="38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  <c r="BA716" s="38"/>
      <c r="BB716" s="38"/>
      <c r="BC716" s="38"/>
      <c r="BD716" s="38"/>
      <c r="BE716" s="38"/>
      <c r="BF716" s="38"/>
      <c r="BG716" s="38"/>
      <c r="BH716" s="38"/>
      <c r="BI716" s="38"/>
      <c r="BJ716" s="38"/>
      <c r="BK716" s="38"/>
      <c r="BL716" s="38"/>
      <c r="BM716" s="38"/>
      <c r="BN716" s="38"/>
      <c r="BO716" s="38"/>
      <c r="BP716" s="38"/>
      <c r="BQ716" s="38"/>
      <c r="BR716" s="38"/>
    </row>
    <row r="717" spans="1:70">
      <c r="A717" s="38"/>
      <c r="B717" s="38"/>
      <c r="C717" s="43"/>
      <c r="D717" s="38"/>
      <c r="E717" s="38"/>
      <c r="F717" s="43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8"/>
      <c r="AJ717" s="38"/>
      <c r="AK717" s="38"/>
      <c r="AL717" s="38"/>
      <c r="AM717" s="38"/>
      <c r="AN717" s="38"/>
      <c r="AO717" s="38"/>
      <c r="AP717" s="38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  <c r="BA717" s="38"/>
      <c r="BB717" s="38"/>
      <c r="BC717" s="38"/>
      <c r="BD717" s="38"/>
      <c r="BE717" s="38"/>
      <c r="BF717" s="38"/>
      <c r="BG717" s="38"/>
      <c r="BH717" s="38"/>
      <c r="BI717" s="38"/>
      <c r="BJ717" s="38"/>
      <c r="BK717" s="38"/>
      <c r="BL717" s="38"/>
      <c r="BM717" s="38"/>
      <c r="BN717" s="38"/>
      <c r="BO717" s="38"/>
      <c r="BP717" s="38"/>
      <c r="BQ717" s="38"/>
      <c r="BR717" s="38"/>
    </row>
    <row r="718" spans="1:70">
      <c r="A718" s="38"/>
      <c r="B718" s="38"/>
      <c r="C718" s="43"/>
      <c r="D718" s="38"/>
      <c r="E718" s="38"/>
      <c r="F718" s="43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8"/>
      <c r="AJ718" s="38"/>
      <c r="AK718" s="38"/>
      <c r="AL718" s="38"/>
      <c r="AM718" s="38"/>
      <c r="AN718" s="38"/>
      <c r="AO718" s="38"/>
      <c r="AP718" s="38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  <c r="BA718" s="38"/>
      <c r="BB718" s="38"/>
      <c r="BC718" s="38"/>
      <c r="BD718" s="38"/>
      <c r="BE718" s="38"/>
      <c r="BF718" s="38"/>
      <c r="BG718" s="38"/>
      <c r="BH718" s="38"/>
      <c r="BI718" s="38"/>
      <c r="BJ718" s="38"/>
      <c r="BK718" s="38"/>
      <c r="BL718" s="38"/>
      <c r="BM718" s="38"/>
      <c r="BN718" s="38"/>
      <c r="BO718" s="38"/>
      <c r="BP718" s="38"/>
      <c r="BQ718" s="38"/>
      <c r="BR718" s="38"/>
    </row>
    <row r="719" spans="1:70">
      <c r="A719" s="38"/>
      <c r="B719" s="38"/>
      <c r="C719" s="43"/>
      <c r="D719" s="38"/>
      <c r="E719" s="38"/>
      <c r="F719" s="43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8"/>
      <c r="AJ719" s="38"/>
      <c r="AK719" s="38"/>
      <c r="AL719" s="38"/>
      <c r="AM719" s="38"/>
      <c r="AN719" s="38"/>
      <c r="AO719" s="38"/>
      <c r="AP719" s="38"/>
      <c r="AQ719" s="38"/>
      <c r="AR719" s="38"/>
      <c r="AS719" s="38"/>
      <c r="AT719" s="38"/>
      <c r="AU719" s="38"/>
      <c r="AV719" s="38"/>
      <c r="AW719" s="38"/>
      <c r="AX719" s="38"/>
      <c r="AY719" s="38"/>
      <c r="AZ719" s="38"/>
      <c r="BA719" s="38"/>
      <c r="BB719" s="38"/>
      <c r="BC719" s="38"/>
      <c r="BD719" s="38"/>
      <c r="BE719" s="38"/>
      <c r="BF719" s="38"/>
      <c r="BG719" s="38"/>
      <c r="BH719" s="38"/>
      <c r="BI719" s="38"/>
      <c r="BJ719" s="38"/>
      <c r="BK719" s="38"/>
      <c r="BL719" s="38"/>
      <c r="BM719" s="38"/>
      <c r="BN719" s="38"/>
      <c r="BO719" s="38"/>
      <c r="BP719" s="38"/>
      <c r="BQ719" s="38"/>
      <c r="BR719" s="38"/>
    </row>
    <row r="720" spans="1:70">
      <c r="A720" s="38"/>
      <c r="B720" s="38"/>
      <c r="C720" s="43"/>
      <c r="D720" s="38"/>
      <c r="E720" s="38"/>
      <c r="F720" s="43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8"/>
      <c r="AJ720" s="38"/>
      <c r="AK720" s="38"/>
      <c r="AL720" s="38"/>
      <c r="AM720" s="38"/>
      <c r="AN720" s="38"/>
      <c r="AO720" s="38"/>
      <c r="AP720" s="38"/>
      <c r="AQ720" s="38"/>
      <c r="AR720" s="38"/>
      <c r="AS720" s="38"/>
      <c r="AT720" s="38"/>
      <c r="AU720" s="38"/>
      <c r="AV720" s="38"/>
      <c r="AW720" s="38"/>
      <c r="AX720" s="38"/>
      <c r="AY720" s="38"/>
      <c r="AZ720" s="38"/>
      <c r="BA720" s="38"/>
      <c r="BB720" s="38"/>
      <c r="BC720" s="38"/>
      <c r="BD720" s="38"/>
      <c r="BE720" s="38"/>
      <c r="BF720" s="38"/>
      <c r="BG720" s="38"/>
      <c r="BH720" s="38"/>
      <c r="BI720" s="38"/>
      <c r="BJ720" s="38"/>
      <c r="BK720" s="38"/>
      <c r="BL720" s="38"/>
      <c r="BM720" s="38"/>
      <c r="BN720" s="38"/>
      <c r="BO720" s="38"/>
      <c r="BP720" s="38"/>
      <c r="BQ720" s="38"/>
      <c r="BR720" s="38"/>
    </row>
    <row r="721" spans="1:70">
      <c r="A721" s="38"/>
      <c r="B721" s="38"/>
      <c r="C721" s="43"/>
      <c r="D721" s="38"/>
      <c r="E721" s="38"/>
      <c r="F721" s="43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8"/>
      <c r="AJ721" s="38"/>
      <c r="AK721" s="38"/>
      <c r="AL721" s="38"/>
      <c r="AM721" s="38"/>
      <c r="AN721" s="38"/>
      <c r="AO721" s="38"/>
      <c r="AP721" s="38"/>
      <c r="AQ721" s="38"/>
      <c r="AR721" s="38"/>
      <c r="AS721" s="38"/>
      <c r="AT721" s="38"/>
      <c r="AU721" s="38"/>
      <c r="AV721" s="38"/>
      <c r="AW721" s="38"/>
      <c r="AX721" s="38"/>
      <c r="AY721" s="38"/>
      <c r="AZ721" s="38"/>
      <c r="BA721" s="38"/>
      <c r="BB721" s="38"/>
      <c r="BC721" s="38"/>
      <c r="BD721" s="38"/>
      <c r="BE721" s="38"/>
      <c r="BF721" s="38"/>
      <c r="BG721" s="38"/>
      <c r="BH721" s="38"/>
      <c r="BI721" s="38"/>
      <c r="BJ721" s="38"/>
      <c r="BK721" s="38"/>
      <c r="BL721" s="38"/>
      <c r="BM721" s="38"/>
      <c r="BN721" s="38"/>
      <c r="BO721" s="38"/>
      <c r="BP721" s="38"/>
      <c r="BQ721" s="38"/>
      <c r="BR721" s="38"/>
    </row>
    <row r="722" spans="1:70">
      <c r="A722" s="38"/>
      <c r="B722" s="38"/>
      <c r="C722" s="43"/>
      <c r="D722" s="38"/>
      <c r="E722" s="38"/>
      <c r="F722" s="43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8"/>
      <c r="AJ722" s="38"/>
      <c r="AK722" s="38"/>
      <c r="AL722" s="38"/>
      <c r="AM722" s="38"/>
      <c r="AN722" s="38"/>
      <c r="AO722" s="38"/>
      <c r="AP722" s="38"/>
      <c r="AQ722" s="38"/>
      <c r="AR722" s="38"/>
      <c r="AS722" s="38"/>
      <c r="AT722" s="38"/>
      <c r="AU722" s="38"/>
      <c r="AV722" s="38"/>
      <c r="AW722" s="38"/>
      <c r="AX722" s="38"/>
      <c r="AY722" s="38"/>
      <c r="AZ722" s="38"/>
      <c r="BA722" s="38"/>
      <c r="BB722" s="38"/>
      <c r="BC722" s="38"/>
      <c r="BD722" s="38"/>
      <c r="BE722" s="38"/>
      <c r="BF722" s="38"/>
      <c r="BG722" s="38"/>
      <c r="BH722" s="38"/>
      <c r="BI722" s="38"/>
      <c r="BJ722" s="38"/>
      <c r="BK722" s="38"/>
      <c r="BL722" s="38"/>
      <c r="BM722" s="38"/>
      <c r="BN722" s="38"/>
      <c r="BO722" s="38"/>
      <c r="BP722" s="38"/>
      <c r="BQ722" s="38"/>
      <c r="BR722" s="38"/>
    </row>
    <row r="723" spans="1:70">
      <c r="A723" s="38"/>
      <c r="B723" s="38"/>
      <c r="C723" s="43"/>
      <c r="D723" s="38"/>
      <c r="E723" s="38"/>
      <c r="F723" s="43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8"/>
      <c r="AJ723" s="38"/>
      <c r="AK723" s="38"/>
      <c r="AL723" s="38"/>
      <c r="AM723" s="38"/>
      <c r="AN723" s="38"/>
      <c r="AO723" s="38"/>
      <c r="AP723" s="38"/>
      <c r="AQ723" s="38"/>
      <c r="AR723" s="38"/>
      <c r="AS723" s="38"/>
      <c r="AT723" s="38"/>
      <c r="AU723" s="38"/>
      <c r="AV723" s="38"/>
      <c r="AW723" s="38"/>
      <c r="AX723" s="38"/>
      <c r="AY723" s="38"/>
      <c r="AZ723" s="38"/>
      <c r="BA723" s="38"/>
      <c r="BB723" s="38"/>
      <c r="BC723" s="38"/>
      <c r="BD723" s="38"/>
      <c r="BE723" s="38"/>
      <c r="BF723" s="38"/>
      <c r="BG723" s="38"/>
      <c r="BH723" s="38"/>
      <c r="BI723" s="38"/>
      <c r="BJ723" s="38"/>
      <c r="BK723" s="38"/>
      <c r="BL723" s="38"/>
      <c r="BM723" s="38"/>
      <c r="BN723" s="38"/>
      <c r="BO723" s="38"/>
      <c r="BP723" s="38"/>
      <c r="BQ723" s="38"/>
      <c r="BR723" s="38"/>
    </row>
    <row r="724" spans="1:70">
      <c r="A724" s="38"/>
      <c r="B724" s="38"/>
      <c r="C724" s="43"/>
      <c r="D724" s="38"/>
      <c r="E724" s="38"/>
      <c r="F724" s="43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8"/>
      <c r="AJ724" s="38"/>
      <c r="AK724" s="38"/>
      <c r="AL724" s="38"/>
      <c r="AM724" s="38"/>
      <c r="AN724" s="38"/>
      <c r="AO724" s="38"/>
      <c r="AP724" s="38"/>
      <c r="AQ724" s="38"/>
      <c r="AR724" s="38"/>
      <c r="AS724" s="38"/>
      <c r="AT724" s="38"/>
      <c r="AU724" s="38"/>
      <c r="AV724" s="38"/>
      <c r="AW724" s="38"/>
      <c r="AX724" s="38"/>
      <c r="AY724" s="38"/>
      <c r="AZ724" s="38"/>
      <c r="BA724" s="38"/>
      <c r="BB724" s="38"/>
      <c r="BC724" s="38"/>
      <c r="BD724" s="38"/>
      <c r="BE724" s="38"/>
      <c r="BF724" s="38"/>
      <c r="BG724" s="38"/>
      <c r="BH724" s="38"/>
      <c r="BI724" s="38"/>
      <c r="BJ724" s="38"/>
      <c r="BK724" s="38"/>
      <c r="BL724" s="38"/>
      <c r="BM724" s="38"/>
      <c r="BN724" s="38"/>
      <c r="BO724" s="38"/>
      <c r="BP724" s="38"/>
      <c r="BQ724" s="38"/>
      <c r="BR724" s="38"/>
    </row>
    <row r="725" spans="1:70">
      <c r="A725" s="38"/>
      <c r="B725" s="38"/>
      <c r="C725" s="43"/>
      <c r="D725" s="38"/>
      <c r="E725" s="38"/>
      <c r="F725" s="43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8"/>
      <c r="AJ725" s="38"/>
      <c r="AK725" s="38"/>
      <c r="AL725" s="38"/>
      <c r="AM725" s="38"/>
      <c r="AN725" s="38"/>
      <c r="AO725" s="38"/>
      <c r="AP725" s="38"/>
      <c r="AQ725" s="38"/>
      <c r="AR725" s="38"/>
      <c r="AS725" s="38"/>
      <c r="AT725" s="38"/>
      <c r="AU725" s="38"/>
      <c r="AV725" s="38"/>
      <c r="AW725" s="38"/>
      <c r="AX725" s="38"/>
      <c r="AY725" s="38"/>
      <c r="AZ725" s="38"/>
      <c r="BA725" s="38"/>
      <c r="BB725" s="38"/>
      <c r="BC725" s="38"/>
      <c r="BD725" s="38"/>
      <c r="BE725" s="38"/>
      <c r="BF725" s="38"/>
      <c r="BG725" s="38"/>
      <c r="BH725" s="38"/>
      <c r="BI725" s="38"/>
      <c r="BJ725" s="38"/>
      <c r="BK725" s="38"/>
      <c r="BL725" s="38"/>
      <c r="BM725" s="38"/>
      <c r="BN725" s="38"/>
      <c r="BO725" s="38"/>
      <c r="BP725" s="38"/>
      <c r="BQ725" s="38"/>
      <c r="BR725" s="38"/>
    </row>
    <row r="726" spans="1:70">
      <c r="A726" s="38"/>
      <c r="B726" s="38"/>
      <c r="C726" s="43"/>
      <c r="D726" s="38"/>
      <c r="E726" s="38"/>
      <c r="F726" s="43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8"/>
      <c r="AJ726" s="38"/>
      <c r="AK726" s="38"/>
      <c r="AL726" s="38"/>
      <c r="AM726" s="38"/>
      <c r="AN726" s="38"/>
      <c r="AO726" s="38"/>
      <c r="AP726" s="38"/>
      <c r="AQ726" s="38"/>
      <c r="AR726" s="38"/>
      <c r="AS726" s="38"/>
      <c r="AT726" s="38"/>
      <c r="AU726" s="38"/>
      <c r="AV726" s="38"/>
      <c r="AW726" s="38"/>
      <c r="AX726" s="38"/>
      <c r="AY726" s="38"/>
      <c r="AZ726" s="38"/>
      <c r="BA726" s="38"/>
      <c r="BB726" s="38"/>
      <c r="BC726" s="38"/>
      <c r="BD726" s="38"/>
      <c r="BE726" s="38"/>
      <c r="BF726" s="38"/>
      <c r="BG726" s="38"/>
      <c r="BH726" s="38"/>
      <c r="BI726" s="38"/>
      <c r="BJ726" s="38"/>
      <c r="BK726" s="38"/>
      <c r="BL726" s="38"/>
      <c r="BM726" s="38"/>
      <c r="BN726" s="38"/>
      <c r="BO726" s="38"/>
      <c r="BP726" s="38"/>
      <c r="BQ726" s="38"/>
      <c r="BR726" s="38"/>
    </row>
    <row r="727" spans="1:70">
      <c r="A727" s="38"/>
      <c r="B727" s="38"/>
      <c r="C727" s="43"/>
      <c r="D727" s="38"/>
      <c r="E727" s="38"/>
      <c r="F727" s="43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8"/>
      <c r="AJ727" s="38"/>
      <c r="AK727" s="38"/>
      <c r="AL727" s="38"/>
      <c r="AM727" s="38"/>
      <c r="AN727" s="38"/>
      <c r="AO727" s="38"/>
      <c r="AP727" s="38"/>
      <c r="AQ727" s="38"/>
      <c r="AR727" s="38"/>
      <c r="AS727" s="38"/>
      <c r="AT727" s="38"/>
      <c r="AU727" s="38"/>
      <c r="AV727" s="38"/>
      <c r="AW727" s="38"/>
      <c r="AX727" s="38"/>
      <c r="AY727" s="38"/>
      <c r="AZ727" s="38"/>
      <c r="BA727" s="38"/>
      <c r="BB727" s="38"/>
      <c r="BC727" s="38"/>
      <c r="BD727" s="38"/>
      <c r="BE727" s="38"/>
      <c r="BF727" s="38"/>
      <c r="BG727" s="38"/>
      <c r="BH727" s="38"/>
      <c r="BI727" s="38"/>
      <c r="BJ727" s="38"/>
      <c r="BK727" s="38"/>
      <c r="BL727" s="38"/>
      <c r="BM727" s="38"/>
      <c r="BN727" s="38"/>
      <c r="BO727" s="38"/>
      <c r="BP727" s="38"/>
      <c r="BQ727" s="38"/>
      <c r="BR727" s="38"/>
    </row>
    <row r="728" spans="1:70">
      <c r="A728" s="38"/>
      <c r="B728" s="38"/>
      <c r="C728" s="43"/>
      <c r="D728" s="38"/>
      <c r="E728" s="38"/>
      <c r="F728" s="43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8"/>
      <c r="AJ728" s="38"/>
      <c r="AK728" s="38"/>
      <c r="AL728" s="38"/>
      <c r="AM728" s="38"/>
      <c r="AN728" s="38"/>
      <c r="AO728" s="38"/>
      <c r="AP728" s="38"/>
      <c r="AQ728" s="38"/>
      <c r="AR728" s="38"/>
      <c r="AS728" s="38"/>
      <c r="AT728" s="38"/>
      <c r="AU728" s="38"/>
      <c r="AV728" s="38"/>
      <c r="AW728" s="38"/>
      <c r="AX728" s="38"/>
      <c r="AY728" s="38"/>
      <c r="AZ728" s="38"/>
      <c r="BA728" s="38"/>
      <c r="BB728" s="38"/>
      <c r="BC728" s="38"/>
      <c r="BD728" s="38"/>
      <c r="BE728" s="38"/>
      <c r="BF728" s="38"/>
      <c r="BG728" s="38"/>
      <c r="BH728" s="38"/>
      <c r="BI728" s="38"/>
      <c r="BJ728" s="38"/>
      <c r="BK728" s="38"/>
      <c r="BL728" s="38"/>
      <c r="BM728" s="38"/>
      <c r="BN728" s="38"/>
      <c r="BO728" s="38"/>
      <c r="BP728" s="38"/>
      <c r="BQ728" s="38"/>
      <c r="BR728" s="38"/>
    </row>
    <row r="729" spans="1:70">
      <c r="A729" s="38"/>
      <c r="B729" s="38"/>
      <c r="C729" s="43"/>
      <c r="D729" s="38"/>
      <c r="E729" s="38"/>
      <c r="F729" s="43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8"/>
      <c r="AJ729" s="38"/>
      <c r="AK729" s="38"/>
      <c r="AL729" s="38"/>
      <c r="AM729" s="38"/>
      <c r="AN729" s="38"/>
      <c r="AO729" s="38"/>
      <c r="AP729" s="38"/>
      <c r="AQ729" s="38"/>
      <c r="AR729" s="38"/>
      <c r="AS729" s="38"/>
      <c r="AT729" s="38"/>
      <c r="AU729" s="38"/>
      <c r="AV729" s="38"/>
      <c r="AW729" s="38"/>
      <c r="AX729" s="38"/>
      <c r="AY729" s="38"/>
      <c r="AZ729" s="38"/>
      <c r="BA729" s="38"/>
      <c r="BB729" s="38"/>
      <c r="BC729" s="38"/>
      <c r="BD729" s="38"/>
      <c r="BE729" s="38"/>
      <c r="BF729" s="38"/>
      <c r="BG729" s="38"/>
      <c r="BH729" s="38"/>
      <c r="BI729" s="38"/>
      <c r="BJ729" s="38"/>
      <c r="BK729" s="38"/>
      <c r="BL729" s="38"/>
      <c r="BM729" s="38"/>
      <c r="BN729" s="38"/>
      <c r="BO729" s="38"/>
      <c r="BP729" s="38"/>
      <c r="BQ729" s="38"/>
      <c r="BR729" s="38"/>
    </row>
    <row r="730" spans="1:70">
      <c r="A730" s="38"/>
      <c r="B730" s="38"/>
      <c r="C730" s="43"/>
      <c r="D730" s="38"/>
      <c r="E730" s="38"/>
      <c r="F730" s="43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8"/>
      <c r="AJ730" s="38"/>
      <c r="AK730" s="38"/>
      <c r="AL730" s="38"/>
      <c r="AM730" s="38"/>
      <c r="AN730" s="38"/>
      <c r="AO730" s="38"/>
      <c r="AP730" s="38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  <c r="BA730" s="38"/>
      <c r="BB730" s="38"/>
      <c r="BC730" s="38"/>
      <c r="BD730" s="38"/>
      <c r="BE730" s="38"/>
      <c r="BF730" s="38"/>
      <c r="BG730" s="38"/>
      <c r="BH730" s="38"/>
      <c r="BI730" s="38"/>
      <c r="BJ730" s="38"/>
      <c r="BK730" s="38"/>
      <c r="BL730" s="38"/>
      <c r="BM730" s="38"/>
      <c r="BN730" s="38"/>
      <c r="BO730" s="38"/>
      <c r="BP730" s="38"/>
      <c r="BQ730" s="38"/>
      <c r="BR730" s="38"/>
    </row>
    <row r="731" spans="1:70">
      <c r="A731" s="38"/>
      <c r="B731" s="38"/>
      <c r="C731" s="43"/>
      <c r="D731" s="38"/>
      <c r="E731" s="38"/>
      <c r="F731" s="43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8"/>
      <c r="AJ731" s="38"/>
      <c r="AK731" s="38"/>
      <c r="AL731" s="38"/>
      <c r="AM731" s="38"/>
      <c r="AN731" s="38"/>
      <c r="AO731" s="38"/>
      <c r="AP731" s="38"/>
      <c r="AQ731" s="38"/>
      <c r="AR731" s="38"/>
      <c r="AS731" s="38"/>
      <c r="AT731" s="38"/>
      <c r="AU731" s="38"/>
      <c r="AV731" s="38"/>
      <c r="AW731" s="38"/>
      <c r="AX731" s="38"/>
      <c r="AY731" s="38"/>
      <c r="AZ731" s="38"/>
      <c r="BA731" s="38"/>
      <c r="BB731" s="38"/>
      <c r="BC731" s="38"/>
      <c r="BD731" s="38"/>
      <c r="BE731" s="38"/>
      <c r="BF731" s="38"/>
      <c r="BG731" s="38"/>
      <c r="BH731" s="38"/>
      <c r="BI731" s="38"/>
      <c r="BJ731" s="38"/>
      <c r="BK731" s="38"/>
      <c r="BL731" s="38"/>
      <c r="BM731" s="38"/>
      <c r="BN731" s="38"/>
      <c r="BO731" s="38"/>
      <c r="BP731" s="38"/>
      <c r="BQ731" s="38"/>
      <c r="BR731" s="38"/>
    </row>
    <row r="732" spans="1:70">
      <c r="A732" s="38"/>
      <c r="B732" s="38"/>
      <c r="C732" s="43"/>
      <c r="D732" s="38"/>
      <c r="E732" s="38"/>
      <c r="F732" s="43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8"/>
      <c r="AJ732" s="38"/>
      <c r="AK732" s="38"/>
      <c r="AL732" s="38"/>
      <c r="AM732" s="38"/>
      <c r="AN732" s="38"/>
      <c r="AO732" s="38"/>
      <c r="AP732" s="38"/>
      <c r="AQ732" s="38"/>
      <c r="AR732" s="38"/>
      <c r="AS732" s="38"/>
      <c r="AT732" s="38"/>
      <c r="AU732" s="38"/>
      <c r="AV732" s="38"/>
      <c r="AW732" s="38"/>
      <c r="AX732" s="38"/>
      <c r="AY732" s="38"/>
      <c r="AZ732" s="38"/>
      <c r="BA732" s="38"/>
      <c r="BB732" s="38"/>
      <c r="BC732" s="38"/>
      <c r="BD732" s="38"/>
      <c r="BE732" s="38"/>
      <c r="BF732" s="38"/>
      <c r="BG732" s="38"/>
      <c r="BH732" s="38"/>
      <c r="BI732" s="38"/>
      <c r="BJ732" s="38"/>
      <c r="BK732" s="38"/>
      <c r="BL732" s="38"/>
      <c r="BM732" s="38"/>
      <c r="BN732" s="38"/>
      <c r="BO732" s="38"/>
      <c r="BP732" s="38"/>
      <c r="BQ732" s="38"/>
      <c r="BR732" s="38"/>
    </row>
    <row r="733" spans="1:70">
      <c r="A733" s="38"/>
      <c r="B733" s="38"/>
      <c r="C733" s="43"/>
      <c r="D733" s="38"/>
      <c r="E733" s="38"/>
      <c r="F733" s="43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8"/>
      <c r="AJ733" s="38"/>
      <c r="AK733" s="38"/>
      <c r="AL733" s="38"/>
      <c r="AM733" s="38"/>
      <c r="AN733" s="38"/>
      <c r="AO733" s="38"/>
      <c r="AP733" s="38"/>
      <c r="AQ733" s="38"/>
      <c r="AR733" s="38"/>
      <c r="AS733" s="38"/>
      <c r="AT733" s="38"/>
      <c r="AU733" s="38"/>
      <c r="AV733" s="38"/>
      <c r="AW733" s="38"/>
      <c r="AX733" s="38"/>
      <c r="AY733" s="38"/>
      <c r="AZ733" s="38"/>
      <c r="BA733" s="38"/>
      <c r="BB733" s="38"/>
      <c r="BC733" s="38"/>
      <c r="BD733" s="38"/>
      <c r="BE733" s="38"/>
      <c r="BF733" s="38"/>
      <c r="BG733" s="38"/>
      <c r="BH733" s="38"/>
      <c r="BI733" s="38"/>
      <c r="BJ733" s="38"/>
      <c r="BK733" s="38"/>
      <c r="BL733" s="38"/>
      <c r="BM733" s="38"/>
      <c r="BN733" s="38"/>
      <c r="BO733" s="38"/>
      <c r="BP733" s="38"/>
      <c r="BQ733" s="38"/>
      <c r="BR733" s="38"/>
    </row>
    <row r="734" spans="1:70">
      <c r="A734" s="38"/>
      <c r="B734" s="38"/>
      <c r="C734" s="43"/>
      <c r="D734" s="38"/>
      <c r="E734" s="38"/>
      <c r="F734" s="43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8"/>
      <c r="AJ734" s="38"/>
      <c r="AK734" s="38"/>
      <c r="AL734" s="38"/>
      <c r="AM734" s="38"/>
      <c r="AN734" s="38"/>
      <c r="AO734" s="38"/>
      <c r="AP734" s="38"/>
      <c r="AQ734" s="38"/>
      <c r="AR734" s="38"/>
      <c r="AS734" s="38"/>
      <c r="AT734" s="38"/>
      <c r="AU734" s="38"/>
      <c r="AV734" s="38"/>
      <c r="AW734" s="38"/>
      <c r="AX734" s="38"/>
      <c r="AY734" s="38"/>
      <c r="AZ734" s="38"/>
      <c r="BA734" s="38"/>
      <c r="BB734" s="38"/>
      <c r="BC734" s="38"/>
      <c r="BD734" s="38"/>
      <c r="BE734" s="38"/>
      <c r="BF734" s="38"/>
      <c r="BG734" s="38"/>
      <c r="BH734" s="38"/>
      <c r="BI734" s="38"/>
      <c r="BJ734" s="38"/>
      <c r="BK734" s="38"/>
      <c r="BL734" s="38"/>
      <c r="BM734" s="38"/>
      <c r="BN734" s="38"/>
      <c r="BO734" s="38"/>
      <c r="BP734" s="38"/>
      <c r="BQ734" s="38"/>
      <c r="BR734" s="38"/>
    </row>
    <row r="735" spans="1:70">
      <c r="A735" s="38"/>
      <c r="B735" s="38"/>
      <c r="C735" s="43"/>
      <c r="D735" s="38"/>
      <c r="E735" s="38"/>
      <c r="F735" s="43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8"/>
      <c r="AJ735" s="38"/>
      <c r="AK735" s="38"/>
      <c r="AL735" s="38"/>
      <c r="AM735" s="38"/>
      <c r="AN735" s="38"/>
      <c r="AO735" s="38"/>
      <c r="AP735" s="38"/>
      <c r="AQ735" s="38"/>
      <c r="AR735" s="38"/>
      <c r="AS735" s="38"/>
      <c r="AT735" s="38"/>
      <c r="AU735" s="38"/>
      <c r="AV735" s="38"/>
      <c r="AW735" s="38"/>
      <c r="AX735" s="38"/>
      <c r="AY735" s="38"/>
      <c r="AZ735" s="38"/>
      <c r="BA735" s="38"/>
      <c r="BB735" s="38"/>
      <c r="BC735" s="38"/>
      <c r="BD735" s="38"/>
      <c r="BE735" s="38"/>
      <c r="BF735" s="38"/>
      <c r="BG735" s="38"/>
      <c r="BH735" s="38"/>
      <c r="BI735" s="38"/>
      <c r="BJ735" s="38"/>
      <c r="BK735" s="38"/>
      <c r="BL735" s="38"/>
      <c r="BM735" s="38"/>
      <c r="BN735" s="38"/>
      <c r="BO735" s="38"/>
      <c r="BP735" s="38"/>
      <c r="BQ735" s="38"/>
      <c r="BR735" s="38"/>
    </row>
    <row r="736" spans="1:70">
      <c r="A736" s="38"/>
      <c r="B736" s="38"/>
      <c r="C736" s="43"/>
      <c r="D736" s="38"/>
      <c r="E736" s="38"/>
      <c r="F736" s="43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8"/>
      <c r="AJ736" s="38"/>
      <c r="AK736" s="38"/>
      <c r="AL736" s="38"/>
      <c r="AM736" s="38"/>
      <c r="AN736" s="38"/>
      <c r="AO736" s="38"/>
      <c r="AP736" s="38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  <c r="BA736" s="38"/>
      <c r="BB736" s="38"/>
      <c r="BC736" s="38"/>
      <c r="BD736" s="38"/>
      <c r="BE736" s="38"/>
      <c r="BF736" s="38"/>
      <c r="BG736" s="38"/>
      <c r="BH736" s="38"/>
      <c r="BI736" s="38"/>
      <c r="BJ736" s="38"/>
      <c r="BK736" s="38"/>
      <c r="BL736" s="38"/>
      <c r="BM736" s="38"/>
      <c r="BN736" s="38"/>
      <c r="BO736" s="38"/>
      <c r="BP736" s="38"/>
      <c r="BQ736" s="38"/>
      <c r="BR736" s="38"/>
    </row>
    <row r="737" spans="1:70">
      <c r="A737" s="38"/>
      <c r="B737" s="38"/>
      <c r="C737" s="43"/>
      <c r="D737" s="38"/>
      <c r="E737" s="38"/>
      <c r="F737" s="43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8"/>
      <c r="AJ737" s="38"/>
      <c r="AK737" s="38"/>
      <c r="AL737" s="38"/>
      <c r="AM737" s="38"/>
      <c r="AN737" s="38"/>
      <c r="AO737" s="38"/>
      <c r="AP737" s="38"/>
      <c r="AQ737" s="38"/>
      <c r="AR737" s="38"/>
      <c r="AS737" s="38"/>
      <c r="AT737" s="38"/>
      <c r="AU737" s="38"/>
      <c r="AV737" s="38"/>
      <c r="AW737" s="38"/>
      <c r="AX737" s="38"/>
      <c r="AY737" s="38"/>
      <c r="AZ737" s="38"/>
      <c r="BA737" s="38"/>
      <c r="BB737" s="38"/>
      <c r="BC737" s="38"/>
      <c r="BD737" s="38"/>
      <c r="BE737" s="38"/>
      <c r="BF737" s="38"/>
      <c r="BG737" s="38"/>
      <c r="BH737" s="38"/>
      <c r="BI737" s="38"/>
      <c r="BJ737" s="38"/>
      <c r="BK737" s="38"/>
      <c r="BL737" s="38"/>
      <c r="BM737" s="38"/>
      <c r="BN737" s="38"/>
      <c r="BO737" s="38"/>
      <c r="BP737" s="38"/>
      <c r="BQ737" s="38"/>
      <c r="BR737" s="38"/>
    </row>
    <row r="738" spans="1:70">
      <c r="A738" s="38"/>
      <c r="B738" s="38"/>
      <c r="C738" s="43"/>
      <c r="D738" s="38"/>
      <c r="E738" s="38"/>
      <c r="F738" s="43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8"/>
      <c r="AJ738" s="38"/>
      <c r="AK738" s="38"/>
      <c r="AL738" s="38"/>
      <c r="AM738" s="38"/>
      <c r="AN738" s="38"/>
      <c r="AO738" s="38"/>
      <c r="AP738" s="38"/>
      <c r="AQ738" s="38"/>
      <c r="AR738" s="38"/>
      <c r="AS738" s="38"/>
      <c r="AT738" s="38"/>
      <c r="AU738" s="38"/>
      <c r="AV738" s="38"/>
      <c r="AW738" s="38"/>
      <c r="AX738" s="38"/>
      <c r="AY738" s="38"/>
      <c r="AZ738" s="38"/>
      <c r="BA738" s="38"/>
      <c r="BB738" s="38"/>
      <c r="BC738" s="38"/>
      <c r="BD738" s="38"/>
      <c r="BE738" s="38"/>
      <c r="BF738" s="38"/>
      <c r="BG738" s="38"/>
      <c r="BH738" s="38"/>
      <c r="BI738" s="38"/>
      <c r="BJ738" s="38"/>
      <c r="BK738" s="38"/>
      <c r="BL738" s="38"/>
      <c r="BM738" s="38"/>
      <c r="BN738" s="38"/>
      <c r="BO738" s="38"/>
      <c r="BP738" s="38"/>
      <c r="BQ738" s="38"/>
      <c r="BR738" s="38"/>
    </row>
    <row r="739" spans="1:70">
      <c r="A739" s="38"/>
      <c r="B739" s="38"/>
      <c r="C739" s="43"/>
      <c r="D739" s="38"/>
      <c r="E739" s="38"/>
      <c r="F739" s="43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8"/>
      <c r="AJ739" s="38"/>
      <c r="AK739" s="38"/>
      <c r="AL739" s="38"/>
      <c r="AM739" s="38"/>
      <c r="AN739" s="38"/>
      <c r="AO739" s="38"/>
      <c r="AP739" s="38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  <c r="BA739" s="38"/>
      <c r="BB739" s="38"/>
      <c r="BC739" s="38"/>
      <c r="BD739" s="38"/>
      <c r="BE739" s="38"/>
      <c r="BF739" s="38"/>
      <c r="BG739" s="38"/>
      <c r="BH739" s="38"/>
      <c r="BI739" s="38"/>
      <c r="BJ739" s="38"/>
      <c r="BK739" s="38"/>
      <c r="BL739" s="38"/>
      <c r="BM739" s="38"/>
      <c r="BN739" s="38"/>
      <c r="BO739" s="38"/>
      <c r="BP739" s="38"/>
      <c r="BQ739" s="38"/>
      <c r="BR739" s="38"/>
    </row>
    <row r="740" spans="1:70">
      <c r="A740" s="38"/>
      <c r="B740" s="38"/>
      <c r="C740" s="43"/>
      <c r="D740" s="38"/>
      <c r="E740" s="38"/>
      <c r="F740" s="43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8"/>
      <c r="AJ740" s="38"/>
      <c r="AK740" s="38"/>
      <c r="AL740" s="38"/>
      <c r="AM740" s="38"/>
      <c r="AN740" s="38"/>
      <c r="AO740" s="38"/>
      <c r="AP740" s="38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  <c r="BA740" s="38"/>
      <c r="BB740" s="38"/>
      <c r="BC740" s="38"/>
      <c r="BD740" s="38"/>
      <c r="BE740" s="38"/>
      <c r="BF740" s="38"/>
      <c r="BG740" s="38"/>
      <c r="BH740" s="38"/>
      <c r="BI740" s="38"/>
      <c r="BJ740" s="38"/>
      <c r="BK740" s="38"/>
      <c r="BL740" s="38"/>
      <c r="BM740" s="38"/>
      <c r="BN740" s="38"/>
      <c r="BO740" s="38"/>
      <c r="BP740" s="38"/>
      <c r="BQ740" s="38"/>
      <c r="BR740" s="38"/>
    </row>
    <row r="741" spans="1:70">
      <c r="A741" s="38"/>
      <c r="B741" s="38"/>
      <c r="C741" s="43"/>
      <c r="D741" s="38"/>
      <c r="E741" s="38"/>
      <c r="F741" s="43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8"/>
      <c r="AJ741" s="38"/>
      <c r="AK741" s="38"/>
      <c r="AL741" s="38"/>
      <c r="AM741" s="38"/>
      <c r="AN741" s="38"/>
      <c r="AO741" s="38"/>
      <c r="AP741" s="38"/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  <c r="BA741" s="38"/>
      <c r="BB741" s="38"/>
      <c r="BC741" s="38"/>
      <c r="BD741" s="38"/>
      <c r="BE741" s="38"/>
      <c r="BF741" s="38"/>
      <c r="BG741" s="38"/>
      <c r="BH741" s="38"/>
      <c r="BI741" s="38"/>
      <c r="BJ741" s="38"/>
      <c r="BK741" s="38"/>
      <c r="BL741" s="38"/>
      <c r="BM741" s="38"/>
      <c r="BN741" s="38"/>
      <c r="BO741" s="38"/>
      <c r="BP741" s="38"/>
      <c r="BQ741" s="38"/>
      <c r="BR741" s="38"/>
    </row>
    <row r="742" spans="1:70">
      <c r="A742" s="38"/>
      <c r="B742" s="38"/>
      <c r="C742" s="43"/>
      <c r="D742" s="38"/>
      <c r="E742" s="38"/>
      <c r="F742" s="43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8"/>
      <c r="AJ742" s="38"/>
      <c r="AK742" s="38"/>
      <c r="AL742" s="38"/>
      <c r="AM742" s="38"/>
      <c r="AN742" s="38"/>
      <c r="AO742" s="38"/>
      <c r="AP742" s="38"/>
      <c r="AQ742" s="38"/>
      <c r="AR742" s="38"/>
      <c r="AS742" s="38"/>
      <c r="AT742" s="38"/>
      <c r="AU742" s="38"/>
      <c r="AV742" s="38"/>
      <c r="AW742" s="38"/>
      <c r="AX742" s="38"/>
      <c r="AY742" s="38"/>
      <c r="AZ742" s="38"/>
      <c r="BA742" s="38"/>
      <c r="BB742" s="38"/>
      <c r="BC742" s="38"/>
      <c r="BD742" s="38"/>
      <c r="BE742" s="38"/>
      <c r="BF742" s="38"/>
      <c r="BG742" s="38"/>
      <c r="BH742" s="38"/>
      <c r="BI742" s="38"/>
      <c r="BJ742" s="38"/>
      <c r="BK742" s="38"/>
      <c r="BL742" s="38"/>
      <c r="BM742" s="38"/>
      <c r="BN742" s="38"/>
      <c r="BO742" s="38"/>
      <c r="BP742" s="38"/>
      <c r="BQ742" s="38"/>
      <c r="BR742" s="38"/>
    </row>
    <row r="743" spans="1:70">
      <c r="A743" s="38"/>
      <c r="B743" s="38"/>
      <c r="C743" s="43"/>
      <c r="D743" s="38"/>
      <c r="E743" s="38"/>
      <c r="F743" s="43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8"/>
      <c r="AJ743" s="38"/>
      <c r="AK743" s="38"/>
      <c r="AL743" s="38"/>
      <c r="AM743" s="38"/>
      <c r="AN743" s="38"/>
      <c r="AO743" s="38"/>
      <c r="AP743" s="38"/>
      <c r="AQ743" s="38"/>
      <c r="AR743" s="38"/>
      <c r="AS743" s="38"/>
      <c r="AT743" s="38"/>
      <c r="AU743" s="38"/>
      <c r="AV743" s="38"/>
      <c r="AW743" s="38"/>
      <c r="AX743" s="38"/>
      <c r="AY743" s="38"/>
      <c r="AZ743" s="38"/>
      <c r="BA743" s="38"/>
      <c r="BB743" s="38"/>
      <c r="BC743" s="38"/>
      <c r="BD743" s="38"/>
      <c r="BE743" s="38"/>
      <c r="BF743" s="38"/>
      <c r="BG743" s="38"/>
      <c r="BH743" s="38"/>
      <c r="BI743" s="38"/>
      <c r="BJ743" s="38"/>
      <c r="BK743" s="38"/>
      <c r="BL743" s="38"/>
      <c r="BM743" s="38"/>
      <c r="BN743" s="38"/>
      <c r="BO743" s="38"/>
      <c r="BP743" s="38"/>
      <c r="BQ743" s="38"/>
      <c r="BR743" s="38"/>
    </row>
    <row r="744" spans="1:70">
      <c r="A744" s="38"/>
      <c r="B744" s="38"/>
      <c r="C744" s="43"/>
      <c r="D744" s="38"/>
      <c r="E744" s="38"/>
      <c r="F744" s="43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8"/>
      <c r="AJ744" s="38"/>
      <c r="AK744" s="38"/>
      <c r="AL744" s="38"/>
      <c r="AM744" s="38"/>
      <c r="AN744" s="38"/>
      <c r="AO744" s="38"/>
      <c r="AP744" s="38"/>
      <c r="AQ744" s="38"/>
      <c r="AR744" s="38"/>
      <c r="AS744" s="38"/>
      <c r="AT744" s="38"/>
      <c r="AU744" s="38"/>
      <c r="AV744" s="38"/>
      <c r="AW744" s="38"/>
      <c r="AX744" s="38"/>
      <c r="AY744" s="38"/>
      <c r="AZ744" s="38"/>
      <c r="BA744" s="38"/>
      <c r="BB744" s="38"/>
      <c r="BC744" s="38"/>
      <c r="BD744" s="38"/>
      <c r="BE744" s="38"/>
      <c r="BF744" s="38"/>
      <c r="BG744" s="38"/>
      <c r="BH744" s="38"/>
      <c r="BI744" s="38"/>
      <c r="BJ744" s="38"/>
      <c r="BK744" s="38"/>
      <c r="BL744" s="38"/>
      <c r="BM744" s="38"/>
      <c r="BN744" s="38"/>
      <c r="BO744" s="38"/>
      <c r="BP744" s="38"/>
      <c r="BQ744" s="38"/>
      <c r="BR744" s="38"/>
    </row>
    <row r="745" spans="1:70">
      <c r="A745" s="38"/>
      <c r="B745" s="38"/>
      <c r="C745" s="43"/>
      <c r="D745" s="38"/>
      <c r="E745" s="38"/>
      <c r="F745" s="43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8"/>
      <c r="AJ745" s="38"/>
      <c r="AK745" s="38"/>
      <c r="AL745" s="38"/>
      <c r="AM745" s="38"/>
      <c r="AN745" s="38"/>
      <c r="AO745" s="38"/>
      <c r="AP745" s="38"/>
      <c r="AQ745" s="38"/>
      <c r="AR745" s="38"/>
      <c r="AS745" s="38"/>
      <c r="AT745" s="38"/>
      <c r="AU745" s="38"/>
      <c r="AV745" s="38"/>
      <c r="AW745" s="38"/>
      <c r="AX745" s="38"/>
      <c r="AY745" s="38"/>
      <c r="AZ745" s="38"/>
      <c r="BA745" s="38"/>
      <c r="BB745" s="38"/>
      <c r="BC745" s="38"/>
      <c r="BD745" s="38"/>
      <c r="BE745" s="38"/>
      <c r="BF745" s="38"/>
      <c r="BG745" s="38"/>
      <c r="BH745" s="38"/>
      <c r="BI745" s="38"/>
      <c r="BJ745" s="38"/>
      <c r="BK745" s="38"/>
      <c r="BL745" s="38"/>
      <c r="BM745" s="38"/>
      <c r="BN745" s="38"/>
      <c r="BO745" s="38"/>
      <c r="BP745" s="38"/>
      <c r="BQ745" s="38"/>
      <c r="BR745" s="38"/>
    </row>
    <row r="746" spans="1:70">
      <c r="A746" s="38"/>
      <c r="B746" s="38"/>
      <c r="C746" s="43"/>
      <c r="D746" s="38"/>
      <c r="E746" s="38"/>
      <c r="F746" s="43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8"/>
      <c r="AJ746" s="38"/>
      <c r="AK746" s="38"/>
      <c r="AL746" s="38"/>
      <c r="AM746" s="38"/>
      <c r="AN746" s="38"/>
      <c r="AO746" s="38"/>
      <c r="AP746" s="38"/>
      <c r="AQ746" s="38"/>
      <c r="AR746" s="38"/>
      <c r="AS746" s="38"/>
      <c r="AT746" s="38"/>
      <c r="AU746" s="38"/>
      <c r="AV746" s="38"/>
      <c r="AW746" s="38"/>
      <c r="AX746" s="38"/>
      <c r="AY746" s="38"/>
      <c r="AZ746" s="38"/>
      <c r="BA746" s="38"/>
      <c r="BB746" s="38"/>
      <c r="BC746" s="38"/>
      <c r="BD746" s="38"/>
      <c r="BE746" s="38"/>
      <c r="BF746" s="38"/>
      <c r="BG746" s="38"/>
      <c r="BH746" s="38"/>
      <c r="BI746" s="38"/>
      <c r="BJ746" s="38"/>
      <c r="BK746" s="38"/>
      <c r="BL746" s="38"/>
      <c r="BM746" s="38"/>
      <c r="BN746" s="38"/>
      <c r="BO746" s="38"/>
      <c r="BP746" s="38"/>
      <c r="BQ746" s="38"/>
      <c r="BR746" s="38"/>
    </row>
    <row r="747" spans="1:70">
      <c r="A747" s="38"/>
      <c r="B747" s="38"/>
      <c r="C747" s="43"/>
      <c r="D747" s="38"/>
      <c r="E747" s="38"/>
      <c r="F747" s="43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8"/>
      <c r="AJ747" s="38"/>
      <c r="AK747" s="38"/>
      <c r="AL747" s="38"/>
      <c r="AM747" s="38"/>
      <c r="AN747" s="38"/>
      <c r="AO747" s="38"/>
      <c r="AP747" s="38"/>
      <c r="AQ747" s="38"/>
      <c r="AR747" s="38"/>
      <c r="AS747" s="38"/>
      <c r="AT747" s="38"/>
      <c r="AU747" s="38"/>
      <c r="AV747" s="38"/>
      <c r="AW747" s="38"/>
      <c r="AX747" s="38"/>
      <c r="AY747" s="38"/>
      <c r="AZ747" s="38"/>
      <c r="BA747" s="38"/>
      <c r="BB747" s="38"/>
      <c r="BC747" s="38"/>
      <c r="BD747" s="38"/>
      <c r="BE747" s="38"/>
      <c r="BF747" s="38"/>
      <c r="BG747" s="38"/>
      <c r="BH747" s="38"/>
      <c r="BI747" s="38"/>
      <c r="BJ747" s="38"/>
      <c r="BK747" s="38"/>
      <c r="BL747" s="38"/>
      <c r="BM747" s="38"/>
      <c r="BN747" s="38"/>
      <c r="BO747" s="38"/>
      <c r="BP747" s="38"/>
      <c r="BQ747" s="38"/>
      <c r="BR747" s="38"/>
    </row>
    <row r="748" spans="1:70">
      <c r="A748" s="38"/>
      <c r="B748" s="38"/>
      <c r="C748" s="43"/>
      <c r="D748" s="38"/>
      <c r="E748" s="38"/>
      <c r="F748" s="43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8"/>
      <c r="AJ748" s="38"/>
      <c r="AK748" s="38"/>
      <c r="AL748" s="38"/>
      <c r="AM748" s="38"/>
      <c r="AN748" s="38"/>
      <c r="AO748" s="38"/>
      <c r="AP748" s="38"/>
      <c r="AQ748" s="38"/>
      <c r="AR748" s="38"/>
      <c r="AS748" s="38"/>
      <c r="AT748" s="38"/>
      <c r="AU748" s="38"/>
      <c r="AV748" s="38"/>
      <c r="AW748" s="38"/>
      <c r="AX748" s="38"/>
      <c r="AY748" s="38"/>
      <c r="AZ748" s="38"/>
      <c r="BA748" s="38"/>
      <c r="BB748" s="38"/>
      <c r="BC748" s="38"/>
      <c r="BD748" s="38"/>
      <c r="BE748" s="38"/>
      <c r="BF748" s="38"/>
      <c r="BG748" s="38"/>
      <c r="BH748" s="38"/>
      <c r="BI748" s="38"/>
      <c r="BJ748" s="38"/>
      <c r="BK748" s="38"/>
      <c r="BL748" s="38"/>
      <c r="BM748" s="38"/>
      <c r="BN748" s="38"/>
      <c r="BO748" s="38"/>
      <c r="BP748" s="38"/>
      <c r="BQ748" s="38"/>
      <c r="BR748" s="38"/>
    </row>
    <row r="749" spans="1:70">
      <c r="A749" s="38"/>
      <c r="B749" s="38"/>
      <c r="C749" s="43"/>
      <c r="D749" s="38"/>
      <c r="E749" s="38"/>
      <c r="F749" s="43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8"/>
      <c r="AJ749" s="38"/>
      <c r="AK749" s="38"/>
      <c r="AL749" s="38"/>
      <c r="AM749" s="38"/>
      <c r="AN749" s="38"/>
      <c r="AO749" s="38"/>
      <c r="AP749" s="38"/>
      <c r="AQ749" s="38"/>
      <c r="AR749" s="38"/>
      <c r="AS749" s="38"/>
      <c r="AT749" s="38"/>
      <c r="AU749" s="38"/>
      <c r="AV749" s="38"/>
      <c r="AW749" s="38"/>
      <c r="AX749" s="38"/>
      <c r="AY749" s="38"/>
      <c r="AZ749" s="38"/>
      <c r="BA749" s="38"/>
      <c r="BB749" s="38"/>
      <c r="BC749" s="38"/>
      <c r="BD749" s="38"/>
      <c r="BE749" s="38"/>
      <c r="BF749" s="38"/>
      <c r="BG749" s="38"/>
      <c r="BH749" s="38"/>
      <c r="BI749" s="38"/>
      <c r="BJ749" s="38"/>
      <c r="BK749" s="38"/>
      <c r="BL749" s="38"/>
      <c r="BM749" s="38"/>
      <c r="BN749" s="38"/>
      <c r="BO749" s="38"/>
      <c r="BP749" s="38"/>
      <c r="BQ749" s="38"/>
      <c r="BR749" s="38"/>
    </row>
    <row r="750" spans="1:70">
      <c r="A750" s="38"/>
      <c r="B750" s="38"/>
      <c r="C750" s="43"/>
      <c r="D750" s="38"/>
      <c r="E750" s="38"/>
      <c r="F750" s="43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8"/>
      <c r="AJ750" s="38"/>
      <c r="AK750" s="38"/>
      <c r="AL750" s="38"/>
      <c r="AM750" s="38"/>
      <c r="AN750" s="38"/>
      <c r="AO750" s="38"/>
      <c r="AP750" s="38"/>
      <c r="AQ750" s="38"/>
      <c r="AR750" s="38"/>
      <c r="AS750" s="38"/>
      <c r="AT750" s="38"/>
      <c r="AU750" s="38"/>
      <c r="AV750" s="38"/>
      <c r="AW750" s="38"/>
      <c r="AX750" s="38"/>
      <c r="AY750" s="38"/>
      <c r="AZ750" s="38"/>
      <c r="BA750" s="38"/>
      <c r="BB750" s="38"/>
      <c r="BC750" s="38"/>
      <c r="BD750" s="38"/>
      <c r="BE750" s="38"/>
      <c r="BF750" s="38"/>
      <c r="BG750" s="38"/>
      <c r="BH750" s="38"/>
      <c r="BI750" s="38"/>
      <c r="BJ750" s="38"/>
      <c r="BK750" s="38"/>
      <c r="BL750" s="38"/>
      <c r="BM750" s="38"/>
      <c r="BN750" s="38"/>
      <c r="BO750" s="38"/>
      <c r="BP750" s="38"/>
      <c r="BQ750" s="38"/>
      <c r="BR750" s="38"/>
    </row>
    <row r="751" spans="1:70">
      <c r="A751" s="38"/>
      <c r="B751" s="38"/>
      <c r="C751" s="43"/>
      <c r="D751" s="38"/>
      <c r="E751" s="38"/>
      <c r="F751" s="43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8"/>
      <c r="AJ751" s="38"/>
      <c r="AK751" s="38"/>
      <c r="AL751" s="38"/>
      <c r="AM751" s="38"/>
      <c r="AN751" s="38"/>
      <c r="AO751" s="38"/>
      <c r="AP751" s="38"/>
      <c r="AQ751" s="38"/>
      <c r="AR751" s="38"/>
      <c r="AS751" s="38"/>
      <c r="AT751" s="38"/>
      <c r="AU751" s="38"/>
      <c r="AV751" s="38"/>
      <c r="AW751" s="38"/>
      <c r="AX751" s="38"/>
      <c r="AY751" s="38"/>
      <c r="AZ751" s="38"/>
      <c r="BA751" s="38"/>
      <c r="BB751" s="38"/>
      <c r="BC751" s="38"/>
      <c r="BD751" s="38"/>
      <c r="BE751" s="38"/>
      <c r="BF751" s="38"/>
      <c r="BG751" s="38"/>
      <c r="BH751" s="38"/>
      <c r="BI751" s="38"/>
      <c r="BJ751" s="38"/>
      <c r="BK751" s="38"/>
      <c r="BL751" s="38"/>
      <c r="BM751" s="38"/>
      <c r="BN751" s="38"/>
      <c r="BO751" s="38"/>
      <c r="BP751" s="38"/>
      <c r="BQ751" s="38"/>
      <c r="BR751" s="38"/>
    </row>
    <row r="752" spans="1:70">
      <c r="A752" s="38"/>
      <c r="B752" s="38"/>
      <c r="C752" s="43"/>
      <c r="D752" s="38"/>
      <c r="E752" s="38"/>
      <c r="F752" s="43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8"/>
      <c r="AJ752" s="38"/>
      <c r="AK752" s="38"/>
      <c r="AL752" s="38"/>
      <c r="AM752" s="38"/>
      <c r="AN752" s="38"/>
      <c r="AO752" s="38"/>
      <c r="AP752" s="38"/>
      <c r="AQ752" s="38"/>
      <c r="AR752" s="38"/>
      <c r="AS752" s="38"/>
      <c r="AT752" s="38"/>
      <c r="AU752" s="38"/>
      <c r="AV752" s="38"/>
      <c r="AW752" s="38"/>
      <c r="AX752" s="38"/>
      <c r="AY752" s="38"/>
      <c r="AZ752" s="38"/>
      <c r="BA752" s="38"/>
      <c r="BB752" s="38"/>
      <c r="BC752" s="38"/>
      <c r="BD752" s="38"/>
      <c r="BE752" s="38"/>
      <c r="BF752" s="38"/>
      <c r="BG752" s="38"/>
      <c r="BH752" s="38"/>
      <c r="BI752" s="38"/>
      <c r="BJ752" s="38"/>
      <c r="BK752" s="38"/>
      <c r="BL752" s="38"/>
      <c r="BM752" s="38"/>
      <c r="BN752" s="38"/>
      <c r="BO752" s="38"/>
      <c r="BP752" s="38"/>
      <c r="BQ752" s="38"/>
      <c r="BR752" s="38"/>
    </row>
    <row r="753" spans="1:70">
      <c r="A753" s="38"/>
      <c r="B753" s="38"/>
      <c r="C753" s="43"/>
      <c r="D753" s="38"/>
      <c r="E753" s="38"/>
      <c r="F753" s="43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8"/>
      <c r="AJ753" s="38"/>
      <c r="AK753" s="38"/>
      <c r="AL753" s="38"/>
      <c r="AM753" s="38"/>
      <c r="AN753" s="38"/>
      <c r="AO753" s="38"/>
      <c r="AP753" s="38"/>
      <c r="AQ753" s="38"/>
      <c r="AR753" s="38"/>
      <c r="AS753" s="38"/>
      <c r="AT753" s="38"/>
      <c r="AU753" s="38"/>
      <c r="AV753" s="38"/>
      <c r="AW753" s="38"/>
      <c r="AX753" s="38"/>
      <c r="AY753" s="38"/>
      <c r="AZ753" s="38"/>
      <c r="BA753" s="38"/>
      <c r="BB753" s="38"/>
      <c r="BC753" s="38"/>
      <c r="BD753" s="38"/>
      <c r="BE753" s="38"/>
      <c r="BF753" s="38"/>
      <c r="BG753" s="38"/>
      <c r="BH753" s="38"/>
      <c r="BI753" s="38"/>
      <c r="BJ753" s="38"/>
      <c r="BK753" s="38"/>
      <c r="BL753" s="38"/>
      <c r="BM753" s="38"/>
      <c r="BN753" s="38"/>
      <c r="BO753" s="38"/>
      <c r="BP753" s="38"/>
      <c r="BQ753" s="38"/>
      <c r="BR753" s="38"/>
    </row>
    <row r="754" spans="1:70">
      <c r="A754" s="38"/>
      <c r="B754" s="38"/>
      <c r="C754" s="43"/>
      <c r="D754" s="38"/>
      <c r="E754" s="38"/>
      <c r="F754" s="43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8"/>
      <c r="AJ754" s="38"/>
      <c r="AK754" s="38"/>
      <c r="AL754" s="38"/>
      <c r="AM754" s="38"/>
      <c r="AN754" s="38"/>
      <c r="AO754" s="38"/>
      <c r="AP754" s="38"/>
      <c r="AQ754" s="38"/>
      <c r="AR754" s="38"/>
      <c r="AS754" s="38"/>
      <c r="AT754" s="38"/>
      <c r="AU754" s="38"/>
      <c r="AV754" s="38"/>
      <c r="AW754" s="38"/>
      <c r="AX754" s="38"/>
      <c r="AY754" s="38"/>
      <c r="AZ754" s="38"/>
      <c r="BA754" s="38"/>
      <c r="BB754" s="38"/>
      <c r="BC754" s="38"/>
      <c r="BD754" s="38"/>
      <c r="BE754" s="38"/>
      <c r="BF754" s="38"/>
      <c r="BG754" s="38"/>
      <c r="BH754" s="38"/>
      <c r="BI754" s="38"/>
      <c r="BJ754" s="38"/>
      <c r="BK754" s="38"/>
      <c r="BL754" s="38"/>
      <c r="BM754" s="38"/>
      <c r="BN754" s="38"/>
      <c r="BO754" s="38"/>
      <c r="BP754" s="38"/>
      <c r="BQ754" s="38"/>
      <c r="BR754" s="38"/>
    </row>
    <row r="755" spans="1:70">
      <c r="A755" s="38"/>
      <c r="B755" s="38"/>
      <c r="C755" s="43"/>
      <c r="D755" s="38"/>
      <c r="E755" s="38"/>
      <c r="F755" s="43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8"/>
      <c r="AJ755" s="38"/>
      <c r="AK755" s="38"/>
      <c r="AL755" s="38"/>
      <c r="AM755" s="38"/>
      <c r="AN755" s="38"/>
      <c r="AO755" s="38"/>
      <c r="AP755" s="38"/>
      <c r="AQ755" s="38"/>
      <c r="AR755" s="38"/>
      <c r="AS755" s="38"/>
      <c r="AT755" s="38"/>
      <c r="AU755" s="38"/>
      <c r="AV755" s="38"/>
      <c r="AW755" s="38"/>
      <c r="AX755" s="38"/>
      <c r="AY755" s="38"/>
      <c r="AZ755" s="38"/>
      <c r="BA755" s="38"/>
      <c r="BB755" s="38"/>
      <c r="BC755" s="38"/>
      <c r="BD755" s="38"/>
      <c r="BE755" s="38"/>
      <c r="BF755" s="38"/>
      <c r="BG755" s="38"/>
      <c r="BH755" s="38"/>
      <c r="BI755" s="38"/>
      <c r="BJ755" s="38"/>
      <c r="BK755" s="38"/>
      <c r="BL755" s="38"/>
      <c r="BM755" s="38"/>
      <c r="BN755" s="38"/>
      <c r="BO755" s="38"/>
      <c r="BP755" s="38"/>
      <c r="BQ755" s="38"/>
      <c r="BR755" s="38"/>
    </row>
    <row r="756" spans="1:70">
      <c r="A756" s="38"/>
      <c r="B756" s="38"/>
      <c r="C756" s="43"/>
      <c r="D756" s="38"/>
      <c r="E756" s="38"/>
      <c r="F756" s="43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8"/>
      <c r="AJ756" s="38"/>
      <c r="AK756" s="38"/>
      <c r="AL756" s="38"/>
      <c r="AM756" s="38"/>
      <c r="AN756" s="38"/>
      <c r="AO756" s="38"/>
      <c r="AP756" s="38"/>
      <c r="AQ756" s="38"/>
      <c r="AR756" s="38"/>
      <c r="AS756" s="38"/>
      <c r="AT756" s="38"/>
      <c r="AU756" s="38"/>
      <c r="AV756" s="38"/>
      <c r="AW756" s="38"/>
      <c r="AX756" s="38"/>
      <c r="AY756" s="38"/>
      <c r="AZ756" s="38"/>
      <c r="BA756" s="38"/>
      <c r="BB756" s="38"/>
      <c r="BC756" s="38"/>
      <c r="BD756" s="38"/>
      <c r="BE756" s="38"/>
      <c r="BF756" s="38"/>
      <c r="BG756" s="38"/>
      <c r="BH756" s="38"/>
      <c r="BI756" s="38"/>
      <c r="BJ756" s="38"/>
      <c r="BK756" s="38"/>
      <c r="BL756" s="38"/>
      <c r="BM756" s="38"/>
      <c r="BN756" s="38"/>
      <c r="BO756" s="38"/>
      <c r="BP756" s="38"/>
      <c r="BQ756" s="38"/>
      <c r="BR756" s="38"/>
    </row>
    <row r="757" spans="1:70">
      <c r="A757" s="38"/>
      <c r="B757" s="38"/>
      <c r="C757" s="43"/>
      <c r="D757" s="38"/>
      <c r="E757" s="38"/>
      <c r="F757" s="43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8"/>
      <c r="AJ757" s="38"/>
      <c r="AK757" s="38"/>
      <c r="AL757" s="38"/>
      <c r="AM757" s="38"/>
      <c r="AN757" s="38"/>
      <c r="AO757" s="38"/>
      <c r="AP757" s="38"/>
      <c r="AQ757" s="38"/>
      <c r="AR757" s="38"/>
      <c r="AS757" s="38"/>
      <c r="AT757" s="38"/>
      <c r="AU757" s="38"/>
      <c r="AV757" s="38"/>
      <c r="AW757" s="38"/>
      <c r="AX757" s="38"/>
      <c r="AY757" s="38"/>
      <c r="AZ757" s="38"/>
      <c r="BA757" s="38"/>
      <c r="BB757" s="38"/>
      <c r="BC757" s="38"/>
      <c r="BD757" s="38"/>
      <c r="BE757" s="38"/>
      <c r="BF757" s="38"/>
      <c r="BG757" s="38"/>
      <c r="BH757" s="38"/>
      <c r="BI757" s="38"/>
      <c r="BJ757" s="38"/>
      <c r="BK757" s="38"/>
      <c r="BL757" s="38"/>
      <c r="BM757" s="38"/>
      <c r="BN757" s="38"/>
      <c r="BO757" s="38"/>
      <c r="BP757" s="38"/>
      <c r="BQ757" s="38"/>
      <c r="BR757" s="38"/>
    </row>
    <row r="758" spans="1:70">
      <c r="A758" s="38"/>
      <c r="B758" s="38"/>
      <c r="C758" s="43"/>
      <c r="D758" s="38"/>
      <c r="E758" s="38"/>
      <c r="F758" s="43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8"/>
      <c r="AJ758" s="38"/>
      <c r="AK758" s="38"/>
      <c r="AL758" s="38"/>
      <c r="AM758" s="38"/>
      <c r="AN758" s="38"/>
      <c r="AO758" s="38"/>
      <c r="AP758" s="38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  <c r="BA758" s="38"/>
      <c r="BB758" s="38"/>
      <c r="BC758" s="38"/>
      <c r="BD758" s="38"/>
      <c r="BE758" s="38"/>
      <c r="BF758" s="38"/>
      <c r="BG758" s="38"/>
      <c r="BH758" s="38"/>
      <c r="BI758" s="38"/>
      <c r="BJ758" s="38"/>
      <c r="BK758" s="38"/>
      <c r="BL758" s="38"/>
      <c r="BM758" s="38"/>
      <c r="BN758" s="38"/>
      <c r="BO758" s="38"/>
      <c r="BP758" s="38"/>
      <c r="BQ758" s="38"/>
      <c r="BR758" s="38"/>
    </row>
    <row r="759" spans="1:70">
      <c r="A759" s="38"/>
      <c r="B759" s="38"/>
      <c r="C759" s="43"/>
      <c r="D759" s="38"/>
      <c r="E759" s="38"/>
      <c r="F759" s="43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8"/>
      <c r="AJ759" s="38"/>
      <c r="AK759" s="38"/>
      <c r="AL759" s="38"/>
      <c r="AM759" s="38"/>
      <c r="AN759" s="38"/>
      <c r="AO759" s="38"/>
      <c r="AP759" s="38"/>
      <c r="AQ759" s="38"/>
      <c r="AR759" s="38"/>
      <c r="AS759" s="38"/>
      <c r="AT759" s="38"/>
      <c r="AU759" s="38"/>
      <c r="AV759" s="38"/>
      <c r="AW759" s="38"/>
      <c r="AX759" s="38"/>
      <c r="AY759" s="38"/>
      <c r="AZ759" s="38"/>
      <c r="BA759" s="38"/>
      <c r="BB759" s="38"/>
      <c r="BC759" s="38"/>
      <c r="BD759" s="38"/>
      <c r="BE759" s="38"/>
      <c r="BF759" s="38"/>
      <c r="BG759" s="38"/>
      <c r="BH759" s="38"/>
      <c r="BI759" s="38"/>
      <c r="BJ759" s="38"/>
      <c r="BK759" s="38"/>
      <c r="BL759" s="38"/>
      <c r="BM759" s="38"/>
      <c r="BN759" s="38"/>
      <c r="BO759" s="38"/>
      <c r="BP759" s="38"/>
      <c r="BQ759" s="38"/>
      <c r="BR759" s="38"/>
    </row>
    <row r="760" spans="1:70">
      <c r="A760" s="38"/>
      <c r="B760" s="38"/>
      <c r="C760" s="43"/>
      <c r="D760" s="38"/>
      <c r="E760" s="38"/>
      <c r="F760" s="43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8"/>
      <c r="AJ760" s="38"/>
      <c r="AK760" s="38"/>
      <c r="AL760" s="38"/>
      <c r="AM760" s="38"/>
      <c r="AN760" s="38"/>
      <c r="AO760" s="38"/>
      <c r="AP760" s="38"/>
      <c r="AQ760" s="38"/>
      <c r="AR760" s="38"/>
      <c r="AS760" s="38"/>
      <c r="AT760" s="38"/>
      <c r="AU760" s="38"/>
      <c r="AV760" s="38"/>
      <c r="AW760" s="38"/>
      <c r="AX760" s="38"/>
      <c r="AY760" s="38"/>
      <c r="AZ760" s="38"/>
      <c r="BA760" s="38"/>
      <c r="BB760" s="38"/>
      <c r="BC760" s="38"/>
      <c r="BD760" s="38"/>
      <c r="BE760" s="38"/>
      <c r="BF760" s="38"/>
      <c r="BG760" s="38"/>
      <c r="BH760" s="38"/>
      <c r="BI760" s="38"/>
      <c r="BJ760" s="38"/>
      <c r="BK760" s="38"/>
      <c r="BL760" s="38"/>
      <c r="BM760" s="38"/>
      <c r="BN760" s="38"/>
      <c r="BO760" s="38"/>
      <c r="BP760" s="38"/>
      <c r="BQ760" s="38"/>
      <c r="BR760" s="38"/>
    </row>
    <row r="761" spans="1:70">
      <c r="A761" s="38"/>
      <c r="B761" s="38"/>
      <c r="C761" s="43"/>
      <c r="D761" s="38"/>
      <c r="E761" s="38"/>
      <c r="F761" s="43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8"/>
      <c r="AJ761" s="38"/>
      <c r="AK761" s="38"/>
      <c r="AL761" s="38"/>
      <c r="AM761" s="38"/>
      <c r="AN761" s="38"/>
      <c r="AO761" s="38"/>
      <c r="AP761" s="38"/>
      <c r="AQ761" s="38"/>
      <c r="AR761" s="38"/>
      <c r="AS761" s="38"/>
      <c r="AT761" s="38"/>
      <c r="AU761" s="38"/>
      <c r="AV761" s="38"/>
      <c r="AW761" s="38"/>
      <c r="AX761" s="38"/>
      <c r="AY761" s="38"/>
      <c r="AZ761" s="38"/>
      <c r="BA761" s="38"/>
      <c r="BB761" s="38"/>
      <c r="BC761" s="38"/>
      <c r="BD761" s="38"/>
      <c r="BE761" s="38"/>
      <c r="BF761" s="38"/>
      <c r="BG761" s="38"/>
      <c r="BH761" s="38"/>
      <c r="BI761" s="38"/>
      <c r="BJ761" s="38"/>
      <c r="BK761" s="38"/>
      <c r="BL761" s="38"/>
      <c r="BM761" s="38"/>
      <c r="BN761" s="38"/>
      <c r="BO761" s="38"/>
      <c r="BP761" s="38"/>
      <c r="BQ761" s="38"/>
      <c r="BR761" s="38"/>
    </row>
    <row r="762" spans="1:70">
      <c r="A762" s="38"/>
      <c r="B762" s="38"/>
      <c r="C762" s="43"/>
      <c r="D762" s="38"/>
      <c r="E762" s="38"/>
      <c r="F762" s="43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8"/>
      <c r="AJ762" s="38"/>
      <c r="AK762" s="38"/>
      <c r="AL762" s="38"/>
      <c r="AM762" s="38"/>
      <c r="AN762" s="38"/>
      <c r="AO762" s="38"/>
      <c r="AP762" s="38"/>
      <c r="AQ762" s="38"/>
      <c r="AR762" s="38"/>
      <c r="AS762" s="38"/>
      <c r="AT762" s="38"/>
      <c r="AU762" s="38"/>
      <c r="AV762" s="38"/>
      <c r="AW762" s="38"/>
      <c r="AX762" s="38"/>
      <c r="AY762" s="38"/>
      <c r="AZ762" s="38"/>
      <c r="BA762" s="38"/>
      <c r="BB762" s="38"/>
      <c r="BC762" s="38"/>
      <c r="BD762" s="38"/>
      <c r="BE762" s="38"/>
      <c r="BF762" s="38"/>
      <c r="BG762" s="38"/>
      <c r="BH762" s="38"/>
      <c r="BI762" s="38"/>
      <c r="BJ762" s="38"/>
      <c r="BK762" s="38"/>
      <c r="BL762" s="38"/>
      <c r="BM762" s="38"/>
      <c r="BN762" s="38"/>
      <c r="BO762" s="38"/>
      <c r="BP762" s="38"/>
      <c r="BQ762" s="38"/>
      <c r="BR762" s="38"/>
    </row>
    <row r="763" spans="1:70">
      <c r="A763" s="38"/>
      <c r="B763" s="38"/>
      <c r="C763" s="43"/>
      <c r="D763" s="38"/>
      <c r="E763" s="38"/>
      <c r="F763" s="43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8"/>
      <c r="AJ763" s="38"/>
      <c r="AK763" s="38"/>
      <c r="AL763" s="38"/>
      <c r="AM763" s="38"/>
      <c r="AN763" s="38"/>
      <c r="AO763" s="38"/>
      <c r="AP763" s="38"/>
      <c r="AQ763" s="38"/>
      <c r="AR763" s="38"/>
      <c r="AS763" s="38"/>
      <c r="AT763" s="38"/>
      <c r="AU763" s="38"/>
      <c r="AV763" s="38"/>
      <c r="AW763" s="38"/>
      <c r="AX763" s="38"/>
      <c r="AY763" s="38"/>
      <c r="AZ763" s="38"/>
      <c r="BA763" s="38"/>
      <c r="BB763" s="38"/>
      <c r="BC763" s="38"/>
      <c r="BD763" s="38"/>
      <c r="BE763" s="38"/>
      <c r="BF763" s="38"/>
      <c r="BG763" s="38"/>
      <c r="BH763" s="38"/>
      <c r="BI763" s="38"/>
      <c r="BJ763" s="38"/>
      <c r="BK763" s="38"/>
      <c r="BL763" s="38"/>
      <c r="BM763" s="38"/>
      <c r="BN763" s="38"/>
      <c r="BO763" s="38"/>
      <c r="BP763" s="38"/>
      <c r="BQ763" s="38"/>
      <c r="BR763" s="38"/>
    </row>
    <row r="764" spans="1:70">
      <c r="A764" s="38"/>
      <c r="B764" s="38"/>
      <c r="C764" s="43"/>
      <c r="D764" s="38"/>
      <c r="E764" s="38"/>
      <c r="F764" s="43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8"/>
      <c r="AJ764" s="38"/>
      <c r="AK764" s="38"/>
      <c r="AL764" s="38"/>
      <c r="AM764" s="38"/>
      <c r="AN764" s="38"/>
      <c r="AO764" s="38"/>
      <c r="AP764" s="38"/>
      <c r="AQ764" s="38"/>
      <c r="AR764" s="38"/>
      <c r="AS764" s="38"/>
      <c r="AT764" s="38"/>
      <c r="AU764" s="38"/>
      <c r="AV764" s="38"/>
      <c r="AW764" s="38"/>
      <c r="AX764" s="38"/>
      <c r="AY764" s="38"/>
      <c r="AZ764" s="38"/>
      <c r="BA764" s="38"/>
      <c r="BB764" s="38"/>
      <c r="BC764" s="38"/>
      <c r="BD764" s="38"/>
      <c r="BE764" s="38"/>
      <c r="BF764" s="38"/>
      <c r="BG764" s="38"/>
      <c r="BH764" s="38"/>
      <c r="BI764" s="38"/>
      <c r="BJ764" s="38"/>
      <c r="BK764" s="38"/>
      <c r="BL764" s="38"/>
      <c r="BM764" s="38"/>
      <c r="BN764" s="38"/>
      <c r="BO764" s="38"/>
      <c r="BP764" s="38"/>
      <c r="BQ764" s="38"/>
      <c r="BR764" s="38"/>
    </row>
    <row r="765" spans="1:70">
      <c r="A765" s="38"/>
      <c r="B765" s="38"/>
      <c r="C765" s="43"/>
      <c r="D765" s="38"/>
      <c r="E765" s="38"/>
      <c r="F765" s="43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8"/>
      <c r="AJ765" s="38"/>
      <c r="AK765" s="38"/>
      <c r="AL765" s="38"/>
      <c r="AM765" s="38"/>
      <c r="AN765" s="38"/>
      <c r="AO765" s="38"/>
      <c r="AP765" s="38"/>
      <c r="AQ765" s="38"/>
      <c r="AR765" s="38"/>
      <c r="AS765" s="38"/>
      <c r="AT765" s="38"/>
      <c r="AU765" s="38"/>
      <c r="AV765" s="38"/>
      <c r="AW765" s="38"/>
      <c r="AX765" s="38"/>
      <c r="AY765" s="38"/>
      <c r="AZ765" s="38"/>
      <c r="BA765" s="38"/>
      <c r="BB765" s="38"/>
      <c r="BC765" s="38"/>
      <c r="BD765" s="38"/>
      <c r="BE765" s="38"/>
      <c r="BF765" s="38"/>
      <c r="BG765" s="38"/>
      <c r="BH765" s="38"/>
      <c r="BI765" s="38"/>
      <c r="BJ765" s="38"/>
      <c r="BK765" s="38"/>
      <c r="BL765" s="38"/>
      <c r="BM765" s="38"/>
      <c r="BN765" s="38"/>
      <c r="BO765" s="38"/>
      <c r="BP765" s="38"/>
      <c r="BQ765" s="38"/>
      <c r="BR765" s="38"/>
    </row>
    <row r="766" spans="1:70">
      <c r="A766" s="38"/>
      <c r="B766" s="38"/>
      <c r="C766" s="43"/>
      <c r="D766" s="38"/>
      <c r="E766" s="38"/>
      <c r="F766" s="43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8"/>
      <c r="AJ766" s="38"/>
      <c r="AK766" s="38"/>
      <c r="AL766" s="38"/>
      <c r="AM766" s="38"/>
      <c r="AN766" s="38"/>
      <c r="AO766" s="38"/>
      <c r="AP766" s="38"/>
      <c r="AQ766" s="38"/>
      <c r="AR766" s="38"/>
      <c r="AS766" s="38"/>
      <c r="AT766" s="38"/>
      <c r="AU766" s="38"/>
      <c r="AV766" s="38"/>
      <c r="AW766" s="38"/>
      <c r="AX766" s="38"/>
      <c r="AY766" s="38"/>
      <c r="AZ766" s="38"/>
      <c r="BA766" s="38"/>
      <c r="BB766" s="38"/>
      <c r="BC766" s="38"/>
      <c r="BD766" s="38"/>
      <c r="BE766" s="38"/>
      <c r="BF766" s="38"/>
      <c r="BG766" s="38"/>
      <c r="BH766" s="38"/>
      <c r="BI766" s="38"/>
      <c r="BJ766" s="38"/>
      <c r="BK766" s="38"/>
      <c r="BL766" s="38"/>
      <c r="BM766" s="38"/>
      <c r="BN766" s="38"/>
      <c r="BO766" s="38"/>
      <c r="BP766" s="38"/>
      <c r="BQ766" s="38"/>
      <c r="BR766" s="38"/>
    </row>
    <row r="767" spans="1:70">
      <c r="A767" s="38"/>
      <c r="B767" s="38"/>
      <c r="C767" s="43"/>
      <c r="D767" s="38"/>
      <c r="E767" s="38"/>
      <c r="F767" s="43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8"/>
      <c r="AJ767" s="38"/>
      <c r="AK767" s="38"/>
      <c r="AL767" s="38"/>
      <c r="AM767" s="38"/>
      <c r="AN767" s="38"/>
      <c r="AO767" s="38"/>
      <c r="AP767" s="38"/>
      <c r="AQ767" s="38"/>
      <c r="AR767" s="38"/>
      <c r="AS767" s="38"/>
      <c r="AT767" s="38"/>
      <c r="AU767" s="38"/>
      <c r="AV767" s="38"/>
      <c r="AW767" s="38"/>
      <c r="AX767" s="38"/>
      <c r="AY767" s="38"/>
      <c r="AZ767" s="38"/>
      <c r="BA767" s="38"/>
      <c r="BB767" s="38"/>
      <c r="BC767" s="38"/>
      <c r="BD767" s="38"/>
      <c r="BE767" s="38"/>
      <c r="BF767" s="38"/>
      <c r="BG767" s="38"/>
      <c r="BH767" s="38"/>
      <c r="BI767" s="38"/>
      <c r="BJ767" s="38"/>
      <c r="BK767" s="38"/>
      <c r="BL767" s="38"/>
      <c r="BM767" s="38"/>
      <c r="BN767" s="38"/>
      <c r="BO767" s="38"/>
      <c r="BP767" s="38"/>
      <c r="BQ767" s="38"/>
      <c r="BR767" s="38"/>
    </row>
    <row r="768" spans="1:70">
      <c r="A768" s="38"/>
      <c r="B768" s="38"/>
      <c r="C768" s="43"/>
      <c r="D768" s="38"/>
      <c r="E768" s="38"/>
      <c r="F768" s="43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8"/>
      <c r="AJ768" s="38"/>
      <c r="AK768" s="38"/>
      <c r="AL768" s="38"/>
      <c r="AM768" s="38"/>
      <c r="AN768" s="38"/>
      <c r="AO768" s="38"/>
      <c r="AP768" s="38"/>
      <c r="AQ768" s="38"/>
      <c r="AR768" s="38"/>
      <c r="AS768" s="38"/>
      <c r="AT768" s="38"/>
      <c r="AU768" s="38"/>
      <c r="AV768" s="38"/>
      <c r="AW768" s="38"/>
      <c r="AX768" s="38"/>
      <c r="AY768" s="38"/>
      <c r="AZ768" s="38"/>
      <c r="BA768" s="38"/>
      <c r="BB768" s="38"/>
      <c r="BC768" s="38"/>
      <c r="BD768" s="38"/>
      <c r="BE768" s="38"/>
      <c r="BF768" s="38"/>
      <c r="BG768" s="38"/>
      <c r="BH768" s="38"/>
      <c r="BI768" s="38"/>
      <c r="BJ768" s="38"/>
      <c r="BK768" s="38"/>
      <c r="BL768" s="38"/>
      <c r="BM768" s="38"/>
      <c r="BN768" s="38"/>
      <c r="BO768" s="38"/>
      <c r="BP768" s="38"/>
      <c r="BQ768" s="38"/>
      <c r="BR768" s="38"/>
    </row>
    <row r="769" spans="1:70">
      <c r="A769" s="38"/>
      <c r="B769" s="38"/>
      <c r="C769" s="43"/>
      <c r="D769" s="38"/>
      <c r="E769" s="38"/>
      <c r="F769" s="43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8"/>
      <c r="AJ769" s="38"/>
      <c r="AK769" s="38"/>
      <c r="AL769" s="38"/>
      <c r="AM769" s="38"/>
      <c r="AN769" s="38"/>
      <c r="AO769" s="38"/>
      <c r="AP769" s="38"/>
      <c r="AQ769" s="38"/>
      <c r="AR769" s="38"/>
      <c r="AS769" s="38"/>
      <c r="AT769" s="38"/>
      <c r="AU769" s="38"/>
      <c r="AV769" s="38"/>
      <c r="AW769" s="38"/>
      <c r="AX769" s="38"/>
      <c r="AY769" s="38"/>
      <c r="AZ769" s="38"/>
      <c r="BA769" s="38"/>
      <c r="BB769" s="38"/>
      <c r="BC769" s="38"/>
      <c r="BD769" s="38"/>
      <c r="BE769" s="38"/>
      <c r="BF769" s="38"/>
      <c r="BG769" s="38"/>
      <c r="BH769" s="38"/>
      <c r="BI769" s="38"/>
      <c r="BJ769" s="38"/>
      <c r="BK769" s="38"/>
      <c r="BL769" s="38"/>
      <c r="BM769" s="38"/>
      <c r="BN769" s="38"/>
      <c r="BO769" s="38"/>
      <c r="BP769" s="38"/>
      <c r="BQ769" s="38"/>
      <c r="BR769" s="38"/>
    </row>
    <row r="770" spans="1:70">
      <c r="A770" s="38"/>
      <c r="B770" s="38"/>
      <c r="C770" s="43"/>
      <c r="D770" s="38"/>
      <c r="E770" s="38"/>
      <c r="F770" s="43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8"/>
      <c r="AJ770" s="38"/>
      <c r="AK770" s="38"/>
      <c r="AL770" s="38"/>
      <c r="AM770" s="38"/>
      <c r="AN770" s="38"/>
      <c r="AO770" s="38"/>
      <c r="AP770" s="38"/>
      <c r="AQ770" s="38"/>
      <c r="AR770" s="38"/>
      <c r="AS770" s="38"/>
      <c r="AT770" s="38"/>
      <c r="AU770" s="38"/>
      <c r="AV770" s="38"/>
      <c r="AW770" s="38"/>
      <c r="AX770" s="38"/>
      <c r="AY770" s="38"/>
      <c r="AZ770" s="38"/>
      <c r="BA770" s="38"/>
      <c r="BB770" s="38"/>
      <c r="BC770" s="38"/>
      <c r="BD770" s="38"/>
      <c r="BE770" s="38"/>
      <c r="BF770" s="38"/>
      <c r="BG770" s="38"/>
      <c r="BH770" s="38"/>
      <c r="BI770" s="38"/>
      <c r="BJ770" s="38"/>
      <c r="BK770" s="38"/>
      <c r="BL770" s="38"/>
      <c r="BM770" s="38"/>
      <c r="BN770" s="38"/>
      <c r="BO770" s="38"/>
      <c r="BP770" s="38"/>
      <c r="BQ770" s="38"/>
      <c r="BR770" s="38"/>
    </row>
    <row r="771" spans="1:70">
      <c r="A771" s="38"/>
      <c r="B771" s="38"/>
      <c r="C771" s="43"/>
      <c r="D771" s="38"/>
      <c r="E771" s="38"/>
      <c r="F771" s="43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8"/>
      <c r="AJ771" s="38"/>
      <c r="AK771" s="38"/>
      <c r="AL771" s="38"/>
      <c r="AM771" s="38"/>
      <c r="AN771" s="38"/>
      <c r="AO771" s="38"/>
      <c r="AP771" s="38"/>
      <c r="AQ771" s="38"/>
      <c r="AR771" s="38"/>
      <c r="AS771" s="38"/>
      <c r="AT771" s="38"/>
      <c r="AU771" s="38"/>
      <c r="AV771" s="38"/>
      <c r="AW771" s="38"/>
      <c r="AX771" s="38"/>
      <c r="AY771" s="38"/>
      <c r="AZ771" s="38"/>
      <c r="BA771" s="38"/>
      <c r="BB771" s="38"/>
      <c r="BC771" s="38"/>
      <c r="BD771" s="38"/>
      <c r="BE771" s="38"/>
      <c r="BF771" s="38"/>
      <c r="BG771" s="38"/>
      <c r="BH771" s="38"/>
      <c r="BI771" s="38"/>
      <c r="BJ771" s="38"/>
      <c r="BK771" s="38"/>
      <c r="BL771" s="38"/>
      <c r="BM771" s="38"/>
      <c r="BN771" s="38"/>
      <c r="BO771" s="38"/>
      <c r="BP771" s="38"/>
      <c r="BQ771" s="38"/>
      <c r="BR771" s="38"/>
    </row>
    <row r="772" spans="1:70">
      <c r="A772" s="38"/>
      <c r="B772" s="38"/>
      <c r="C772" s="43"/>
      <c r="D772" s="38"/>
      <c r="E772" s="38"/>
      <c r="F772" s="43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8"/>
      <c r="AJ772" s="38"/>
      <c r="AK772" s="38"/>
      <c r="AL772" s="38"/>
      <c r="AM772" s="38"/>
      <c r="AN772" s="38"/>
      <c r="AO772" s="38"/>
      <c r="AP772" s="38"/>
      <c r="AQ772" s="38"/>
      <c r="AR772" s="38"/>
      <c r="AS772" s="38"/>
      <c r="AT772" s="38"/>
      <c r="AU772" s="38"/>
      <c r="AV772" s="38"/>
      <c r="AW772" s="38"/>
      <c r="AX772" s="38"/>
      <c r="AY772" s="38"/>
      <c r="AZ772" s="38"/>
      <c r="BA772" s="38"/>
      <c r="BB772" s="38"/>
      <c r="BC772" s="38"/>
      <c r="BD772" s="38"/>
      <c r="BE772" s="38"/>
      <c r="BF772" s="38"/>
      <c r="BG772" s="38"/>
      <c r="BH772" s="38"/>
      <c r="BI772" s="38"/>
      <c r="BJ772" s="38"/>
      <c r="BK772" s="38"/>
      <c r="BL772" s="38"/>
      <c r="BM772" s="38"/>
      <c r="BN772" s="38"/>
      <c r="BO772" s="38"/>
      <c r="BP772" s="38"/>
      <c r="BQ772" s="38"/>
      <c r="BR772" s="38"/>
    </row>
    <row r="773" spans="1:70">
      <c r="A773" s="38"/>
      <c r="B773" s="38"/>
      <c r="C773" s="43"/>
      <c r="D773" s="38"/>
      <c r="E773" s="38"/>
      <c r="F773" s="43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  <c r="AI773" s="38"/>
      <c r="AJ773" s="38"/>
      <c r="AK773" s="38"/>
      <c r="AL773" s="38"/>
      <c r="AM773" s="38"/>
      <c r="AN773" s="38"/>
      <c r="AO773" s="38"/>
      <c r="AP773" s="38"/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  <c r="BA773" s="38"/>
      <c r="BB773" s="38"/>
      <c r="BC773" s="38"/>
      <c r="BD773" s="38"/>
      <c r="BE773" s="38"/>
      <c r="BF773" s="38"/>
      <c r="BG773" s="38"/>
      <c r="BH773" s="38"/>
      <c r="BI773" s="38"/>
      <c r="BJ773" s="38"/>
      <c r="BK773" s="38"/>
      <c r="BL773" s="38"/>
      <c r="BM773" s="38"/>
      <c r="BN773" s="38"/>
      <c r="BO773" s="38"/>
      <c r="BP773" s="38"/>
      <c r="BQ773" s="38"/>
      <c r="BR773" s="38"/>
    </row>
    <row r="774" spans="1:70">
      <c r="A774" s="38"/>
      <c r="B774" s="38"/>
      <c r="C774" s="43"/>
      <c r="D774" s="38"/>
      <c r="E774" s="38"/>
      <c r="F774" s="43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  <c r="AI774" s="38"/>
      <c r="AJ774" s="38"/>
      <c r="AK774" s="38"/>
      <c r="AL774" s="38"/>
      <c r="AM774" s="38"/>
      <c r="AN774" s="38"/>
      <c r="AO774" s="38"/>
      <c r="AP774" s="38"/>
      <c r="AQ774" s="38"/>
      <c r="AR774" s="38"/>
      <c r="AS774" s="38"/>
      <c r="AT774" s="38"/>
      <c r="AU774" s="38"/>
      <c r="AV774" s="38"/>
      <c r="AW774" s="38"/>
      <c r="AX774" s="38"/>
      <c r="AY774" s="38"/>
      <c r="AZ774" s="38"/>
      <c r="BA774" s="38"/>
      <c r="BB774" s="38"/>
      <c r="BC774" s="38"/>
      <c r="BD774" s="38"/>
      <c r="BE774" s="38"/>
      <c r="BF774" s="38"/>
      <c r="BG774" s="38"/>
      <c r="BH774" s="38"/>
      <c r="BI774" s="38"/>
      <c r="BJ774" s="38"/>
      <c r="BK774" s="38"/>
      <c r="BL774" s="38"/>
      <c r="BM774" s="38"/>
      <c r="BN774" s="38"/>
      <c r="BO774" s="38"/>
      <c r="BP774" s="38"/>
      <c r="BQ774" s="38"/>
      <c r="BR774" s="38"/>
    </row>
    <row r="775" spans="1:70">
      <c r="A775" s="38"/>
      <c r="B775" s="38"/>
      <c r="C775" s="43"/>
      <c r="D775" s="38"/>
      <c r="E775" s="38"/>
      <c r="F775" s="43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  <c r="AI775" s="38"/>
      <c r="AJ775" s="38"/>
      <c r="AK775" s="38"/>
      <c r="AL775" s="38"/>
      <c r="AM775" s="38"/>
      <c r="AN775" s="38"/>
      <c r="AO775" s="38"/>
      <c r="AP775" s="38"/>
      <c r="AQ775" s="38"/>
      <c r="AR775" s="38"/>
      <c r="AS775" s="38"/>
      <c r="AT775" s="38"/>
      <c r="AU775" s="38"/>
      <c r="AV775" s="38"/>
      <c r="AW775" s="38"/>
      <c r="AX775" s="38"/>
      <c r="AY775" s="38"/>
      <c r="AZ775" s="38"/>
      <c r="BA775" s="38"/>
      <c r="BB775" s="38"/>
      <c r="BC775" s="38"/>
      <c r="BD775" s="38"/>
      <c r="BE775" s="38"/>
      <c r="BF775" s="38"/>
      <c r="BG775" s="38"/>
      <c r="BH775" s="38"/>
      <c r="BI775" s="38"/>
      <c r="BJ775" s="38"/>
      <c r="BK775" s="38"/>
      <c r="BL775" s="38"/>
      <c r="BM775" s="38"/>
      <c r="BN775" s="38"/>
      <c r="BO775" s="38"/>
      <c r="BP775" s="38"/>
      <c r="BQ775" s="38"/>
      <c r="BR775" s="38"/>
    </row>
    <row r="776" spans="1:70">
      <c r="A776" s="38"/>
      <c r="B776" s="38"/>
      <c r="C776" s="43"/>
      <c r="D776" s="38"/>
      <c r="E776" s="38"/>
      <c r="F776" s="43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  <c r="AI776" s="38"/>
      <c r="AJ776" s="38"/>
      <c r="AK776" s="38"/>
      <c r="AL776" s="38"/>
      <c r="AM776" s="38"/>
      <c r="AN776" s="38"/>
      <c r="AO776" s="38"/>
      <c r="AP776" s="38"/>
      <c r="AQ776" s="38"/>
      <c r="AR776" s="38"/>
      <c r="AS776" s="38"/>
      <c r="AT776" s="38"/>
      <c r="AU776" s="38"/>
      <c r="AV776" s="38"/>
      <c r="AW776" s="38"/>
      <c r="AX776" s="38"/>
      <c r="AY776" s="38"/>
      <c r="AZ776" s="38"/>
      <c r="BA776" s="38"/>
      <c r="BB776" s="38"/>
      <c r="BC776" s="38"/>
      <c r="BD776" s="38"/>
      <c r="BE776" s="38"/>
      <c r="BF776" s="38"/>
      <c r="BG776" s="38"/>
      <c r="BH776" s="38"/>
      <c r="BI776" s="38"/>
      <c r="BJ776" s="38"/>
      <c r="BK776" s="38"/>
      <c r="BL776" s="38"/>
      <c r="BM776" s="38"/>
      <c r="BN776" s="38"/>
      <c r="BO776" s="38"/>
      <c r="BP776" s="38"/>
      <c r="BQ776" s="38"/>
      <c r="BR776" s="38"/>
    </row>
    <row r="777" spans="1:70">
      <c r="A777" s="38"/>
      <c r="B777" s="38"/>
      <c r="C777" s="43"/>
      <c r="D777" s="38"/>
      <c r="E777" s="38"/>
      <c r="F777" s="43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  <c r="AI777" s="38"/>
      <c r="AJ777" s="38"/>
      <c r="AK777" s="38"/>
      <c r="AL777" s="38"/>
      <c r="AM777" s="38"/>
      <c r="AN777" s="38"/>
      <c r="AO777" s="38"/>
      <c r="AP777" s="38"/>
      <c r="AQ777" s="38"/>
      <c r="AR777" s="38"/>
      <c r="AS777" s="38"/>
      <c r="AT777" s="38"/>
      <c r="AU777" s="38"/>
      <c r="AV777" s="38"/>
      <c r="AW777" s="38"/>
      <c r="AX777" s="38"/>
      <c r="AY777" s="38"/>
      <c r="AZ777" s="38"/>
      <c r="BA777" s="38"/>
      <c r="BB777" s="38"/>
      <c r="BC777" s="38"/>
      <c r="BD777" s="38"/>
      <c r="BE777" s="38"/>
      <c r="BF777" s="38"/>
      <c r="BG777" s="38"/>
      <c r="BH777" s="38"/>
      <c r="BI777" s="38"/>
      <c r="BJ777" s="38"/>
      <c r="BK777" s="38"/>
      <c r="BL777" s="38"/>
      <c r="BM777" s="38"/>
      <c r="BN777" s="38"/>
      <c r="BO777" s="38"/>
      <c r="BP777" s="38"/>
      <c r="BQ777" s="38"/>
      <c r="BR777" s="38"/>
    </row>
    <row r="778" spans="1:70">
      <c r="A778" s="38"/>
      <c r="B778" s="38"/>
      <c r="C778" s="43"/>
      <c r="D778" s="38"/>
      <c r="E778" s="38"/>
      <c r="F778" s="43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  <c r="AI778" s="38"/>
      <c r="AJ778" s="38"/>
      <c r="AK778" s="38"/>
      <c r="AL778" s="38"/>
      <c r="AM778" s="38"/>
      <c r="AN778" s="38"/>
      <c r="AO778" s="38"/>
      <c r="AP778" s="38"/>
      <c r="AQ778" s="38"/>
      <c r="AR778" s="38"/>
      <c r="AS778" s="38"/>
      <c r="AT778" s="38"/>
      <c r="AU778" s="38"/>
      <c r="AV778" s="38"/>
      <c r="AW778" s="38"/>
      <c r="AX778" s="38"/>
      <c r="AY778" s="38"/>
      <c r="AZ778" s="38"/>
      <c r="BA778" s="38"/>
      <c r="BB778" s="38"/>
      <c r="BC778" s="38"/>
      <c r="BD778" s="38"/>
      <c r="BE778" s="38"/>
      <c r="BF778" s="38"/>
      <c r="BG778" s="38"/>
      <c r="BH778" s="38"/>
      <c r="BI778" s="38"/>
      <c r="BJ778" s="38"/>
      <c r="BK778" s="38"/>
      <c r="BL778" s="38"/>
      <c r="BM778" s="38"/>
      <c r="BN778" s="38"/>
      <c r="BO778" s="38"/>
      <c r="BP778" s="38"/>
      <c r="BQ778" s="38"/>
      <c r="BR778" s="38"/>
    </row>
    <row r="779" spans="1:70">
      <c r="A779" s="38"/>
      <c r="B779" s="38"/>
      <c r="C779" s="43"/>
      <c r="D779" s="38"/>
      <c r="E779" s="38"/>
      <c r="F779" s="43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  <c r="AI779" s="38"/>
      <c r="AJ779" s="38"/>
      <c r="AK779" s="38"/>
      <c r="AL779" s="38"/>
      <c r="AM779" s="38"/>
      <c r="AN779" s="38"/>
      <c r="AO779" s="38"/>
      <c r="AP779" s="38"/>
      <c r="AQ779" s="38"/>
      <c r="AR779" s="38"/>
      <c r="AS779" s="38"/>
      <c r="AT779" s="38"/>
      <c r="AU779" s="38"/>
      <c r="AV779" s="38"/>
      <c r="AW779" s="38"/>
      <c r="AX779" s="38"/>
      <c r="AY779" s="38"/>
      <c r="AZ779" s="38"/>
      <c r="BA779" s="38"/>
      <c r="BB779" s="38"/>
      <c r="BC779" s="38"/>
      <c r="BD779" s="38"/>
      <c r="BE779" s="38"/>
      <c r="BF779" s="38"/>
      <c r="BG779" s="38"/>
      <c r="BH779" s="38"/>
      <c r="BI779" s="38"/>
      <c r="BJ779" s="38"/>
      <c r="BK779" s="38"/>
      <c r="BL779" s="38"/>
      <c r="BM779" s="38"/>
      <c r="BN779" s="38"/>
      <c r="BO779" s="38"/>
      <c r="BP779" s="38"/>
      <c r="BQ779" s="38"/>
      <c r="BR779" s="38"/>
    </row>
    <row r="780" spans="1:70">
      <c r="A780" s="38"/>
      <c r="B780" s="38"/>
      <c r="C780" s="43"/>
      <c r="D780" s="38"/>
      <c r="E780" s="38"/>
      <c r="F780" s="43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  <c r="AI780" s="38"/>
      <c r="AJ780" s="38"/>
      <c r="AK780" s="38"/>
      <c r="AL780" s="38"/>
      <c r="AM780" s="38"/>
      <c r="AN780" s="38"/>
      <c r="AO780" s="38"/>
      <c r="AP780" s="38"/>
      <c r="AQ780" s="38"/>
      <c r="AR780" s="38"/>
      <c r="AS780" s="38"/>
      <c r="AT780" s="38"/>
      <c r="AU780" s="38"/>
      <c r="AV780" s="38"/>
      <c r="AW780" s="38"/>
      <c r="AX780" s="38"/>
      <c r="AY780" s="38"/>
      <c r="AZ780" s="38"/>
      <c r="BA780" s="38"/>
      <c r="BB780" s="38"/>
      <c r="BC780" s="38"/>
      <c r="BD780" s="38"/>
      <c r="BE780" s="38"/>
      <c r="BF780" s="38"/>
      <c r="BG780" s="38"/>
      <c r="BH780" s="38"/>
      <c r="BI780" s="38"/>
      <c r="BJ780" s="38"/>
      <c r="BK780" s="38"/>
      <c r="BL780" s="38"/>
      <c r="BM780" s="38"/>
      <c r="BN780" s="38"/>
      <c r="BO780" s="38"/>
      <c r="BP780" s="38"/>
      <c r="BQ780" s="38"/>
      <c r="BR780" s="38"/>
    </row>
    <row r="781" spans="1:70">
      <c r="A781" s="38"/>
      <c r="B781" s="38"/>
      <c r="C781" s="43"/>
      <c r="D781" s="38"/>
      <c r="E781" s="38"/>
      <c r="F781" s="43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  <c r="AI781" s="38"/>
      <c r="AJ781" s="38"/>
      <c r="AK781" s="38"/>
      <c r="AL781" s="38"/>
      <c r="AM781" s="38"/>
      <c r="AN781" s="38"/>
      <c r="AO781" s="38"/>
      <c r="AP781" s="38"/>
      <c r="AQ781" s="38"/>
      <c r="AR781" s="38"/>
      <c r="AS781" s="38"/>
      <c r="AT781" s="38"/>
      <c r="AU781" s="38"/>
      <c r="AV781" s="38"/>
      <c r="AW781" s="38"/>
      <c r="AX781" s="38"/>
      <c r="AY781" s="38"/>
      <c r="AZ781" s="38"/>
      <c r="BA781" s="38"/>
      <c r="BB781" s="38"/>
      <c r="BC781" s="38"/>
      <c r="BD781" s="38"/>
      <c r="BE781" s="38"/>
      <c r="BF781" s="38"/>
      <c r="BG781" s="38"/>
      <c r="BH781" s="38"/>
      <c r="BI781" s="38"/>
      <c r="BJ781" s="38"/>
      <c r="BK781" s="38"/>
      <c r="BL781" s="38"/>
      <c r="BM781" s="38"/>
      <c r="BN781" s="38"/>
      <c r="BO781" s="38"/>
      <c r="BP781" s="38"/>
      <c r="BQ781" s="38"/>
      <c r="BR781" s="38"/>
    </row>
    <row r="782" spans="1:70">
      <c r="A782" s="38"/>
      <c r="B782" s="38"/>
      <c r="C782" s="43"/>
      <c r="D782" s="38"/>
      <c r="E782" s="38"/>
      <c r="F782" s="43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  <c r="AI782" s="38"/>
      <c r="AJ782" s="38"/>
      <c r="AK782" s="38"/>
      <c r="AL782" s="38"/>
      <c r="AM782" s="38"/>
      <c r="AN782" s="38"/>
      <c r="AO782" s="38"/>
      <c r="AP782" s="38"/>
      <c r="AQ782" s="38"/>
      <c r="AR782" s="38"/>
      <c r="AS782" s="38"/>
      <c r="AT782" s="38"/>
      <c r="AU782" s="38"/>
      <c r="AV782" s="38"/>
      <c r="AW782" s="38"/>
      <c r="AX782" s="38"/>
      <c r="AY782" s="38"/>
      <c r="AZ782" s="38"/>
      <c r="BA782" s="38"/>
      <c r="BB782" s="38"/>
      <c r="BC782" s="38"/>
      <c r="BD782" s="38"/>
      <c r="BE782" s="38"/>
      <c r="BF782" s="38"/>
      <c r="BG782" s="38"/>
      <c r="BH782" s="38"/>
      <c r="BI782" s="38"/>
      <c r="BJ782" s="38"/>
      <c r="BK782" s="38"/>
      <c r="BL782" s="38"/>
      <c r="BM782" s="38"/>
      <c r="BN782" s="38"/>
      <c r="BO782" s="38"/>
      <c r="BP782" s="38"/>
      <c r="BQ782" s="38"/>
      <c r="BR782" s="38"/>
    </row>
    <row r="783" spans="1:70">
      <c r="A783" s="38"/>
      <c r="B783" s="38"/>
      <c r="C783" s="43"/>
      <c r="D783" s="38"/>
      <c r="E783" s="38"/>
      <c r="F783" s="43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  <c r="AI783" s="38"/>
      <c r="AJ783" s="38"/>
      <c r="AK783" s="38"/>
      <c r="AL783" s="38"/>
      <c r="AM783" s="38"/>
      <c r="AN783" s="38"/>
      <c r="AO783" s="38"/>
      <c r="AP783" s="38"/>
      <c r="AQ783" s="38"/>
      <c r="AR783" s="38"/>
      <c r="AS783" s="38"/>
      <c r="AT783" s="38"/>
      <c r="AU783" s="38"/>
      <c r="AV783" s="38"/>
      <c r="AW783" s="38"/>
      <c r="AX783" s="38"/>
      <c r="AY783" s="38"/>
      <c r="AZ783" s="38"/>
      <c r="BA783" s="38"/>
      <c r="BB783" s="38"/>
      <c r="BC783" s="38"/>
      <c r="BD783" s="38"/>
      <c r="BE783" s="38"/>
      <c r="BF783" s="38"/>
      <c r="BG783" s="38"/>
      <c r="BH783" s="38"/>
      <c r="BI783" s="38"/>
      <c r="BJ783" s="38"/>
      <c r="BK783" s="38"/>
      <c r="BL783" s="38"/>
      <c r="BM783" s="38"/>
      <c r="BN783" s="38"/>
      <c r="BO783" s="38"/>
      <c r="BP783" s="38"/>
      <c r="BQ783" s="38"/>
      <c r="BR783" s="38"/>
    </row>
    <row r="784" spans="1:70">
      <c r="A784" s="38"/>
      <c r="B784" s="38"/>
      <c r="C784" s="43"/>
      <c r="D784" s="38"/>
      <c r="E784" s="38"/>
      <c r="F784" s="43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  <c r="AI784" s="38"/>
      <c r="AJ784" s="38"/>
      <c r="AK784" s="38"/>
      <c r="AL784" s="38"/>
      <c r="AM784" s="38"/>
      <c r="AN784" s="38"/>
      <c r="AO784" s="38"/>
      <c r="AP784" s="38"/>
      <c r="AQ784" s="38"/>
      <c r="AR784" s="38"/>
      <c r="AS784" s="38"/>
      <c r="AT784" s="38"/>
      <c r="AU784" s="38"/>
      <c r="AV784" s="38"/>
      <c r="AW784" s="38"/>
      <c r="AX784" s="38"/>
      <c r="AY784" s="38"/>
      <c r="AZ784" s="38"/>
      <c r="BA784" s="38"/>
      <c r="BB784" s="38"/>
      <c r="BC784" s="38"/>
      <c r="BD784" s="38"/>
      <c r="BE784" s="38"/>
      <c r="BF784" s="38"/>
      <c r="BG784" s="38"/>
      <c r="BH784" s="38"/>
      <c r="BI784" s="38"/>
      <c r="BJ784" s="38"/>
      <c r="BK784" s="38"/>
      <c r="BL784" s="38"/>
      <c r="BM784" s="38"/>
      <c r="BN784" s="38"/>
      <c r="BO784" s="38"/>
      <c r="BP784" s="38"/>
      <c r="BQ784" s="38"/>
      <c r="BR784" s="38"/>
    </row>
    <row r="785" spans="1:70">
      <c r="A785" s="38"/>
      <c r="B785" s="38"/>
      <c r="C785" s="43"/>
      <c r="D785" s="38"/>
      <c r="E785" s="38"/>
      <c r="F785" s="43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  <c r="AI785" s="38"/>
      <c r="AJ785" s="38"/>
      <c r="AK785" s="38"/>
      <c r="AL785" s="38"/>
      <c r="AM785" s="38"/>
      <c r="AN785" s="38"/>
      <c r="AO785" s="38"/>
      <c r="AP785" s="38"/>
      <c r="AQ785" s="38"/>
      <c r="AR785" s="38"/>
      <c r="AS785" s="38"/>
      <c r="AT785" s="38"/>
      <c r="AU785" s="38"/>
      <c r="AV785" s="38"/>
      <c r="AW785" s="38"/>
      <c r="AX785" s="38"/>
      <c r="AY785" s="38"/>
      <c r="AZ785" s="38"/>
      <c r="BA785" s="38"/>
      <c r="BB785" s="38"/>
      <c r="BC785" s="38"/>
      <c r="BD785" s="38"/>
      <c r="BE785" s="38"/>
      <c r="BF785" s="38"/>
      <c r="BG785" s="38"/>
      <c r="BH785" s="38"/>
      <c r="BI785" s="38"/>
      <c r="BJ785" s="38"/>
      <c r="BK785" s="38"/>
      <c r="BL785" s="38"/>
      <c r="BM785" s="38"/>
      <c r="BN785" s="38"/>
      <c r="BO785" s="38"/>
      <c r="BP785" s="38"/>
      <c r="BQ785" s="38"/>
      <c r="BR785" s="38"/>
    </row>
    <row r="786" spans="1:70">
      <c r="A786" s="38"/>
      <c r="B786" s="38"/>
      <c r="C786" s="43"/>
      <c r="D786" s="38"/>
      <c r="E786" s="38"/>
      <c r="F786" s="43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  <c r="AI786" s="38"/>
      <c r="AJ786" s="38"/>
      <c r="AK786" s="38"/>
      <c r="AL786" s="38"/>
      <c r="AM786" s="38"/>
      <c r="AN786" s="38"/>
      <c r="AO786" s="38"/>
      <c r="AP786" s="38"/>
      <c r="AQ786" s="38"/>
      <c r="AR786" s="38"/>
      <c r="AS786" s="38"/>
      <c r="AT786" s="38"/>
      <c r="AU786" s="38"/>
      <c r="AV786" s="38"/>
      <c r="AW786" s="38"/>
      <c r="AX786" s="38"/>
      <c r="AY786" s="38"/>
      <c r="AZ786" s="38"/>
      <c r="BA786" s="38"/>
      <c r="BB786" s="38"/>
      <c r="BC786" s="38"/>
      <c r="BD786" s="38"/>
      <c r="BE786" s="38"/>
      <c r="BF786" s="38"/>
      <c r="BG786" s="38"/>
      <c r="BH786" s="38"/>
      <c r="BI786" s="38"/>
      <c r="BJ786" s="38"/>
      <c r="BK786" s="38"/>
      <c r="BL786" s="38"/>
      <c r="BM786" s="38"/>
      <c r="BN786" s="38"/>
      <c r="BO786" s="38"/>
      <c r="BP786" s="38"/>
      <c r="BQ786" s="38"/>
      <c r="BR786" s="38"/>
    </row>
    <row r="787" spans="1:70">
      <c r="A787" s="38"/>
      <c r="B787" s="38"/>
      <c r="C787" s="43"/>
      <c r="D787" s="38"/>
      <c r="E787" s="38"/>
      <c r="F787" s="43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  <c r="AI787" s="38"/>
      <c r="AJ787" s="38"/>
      <c r="AK787" s="38"/>
      <c r="AL787" s="38"/>
      <c r="AM787" s="38"/>
      <c r="AN787" s="38"/>
      <c r="AO787" s="38"/>
      <c r="AP787" s="38"/>
      <c r="AQ787" s="38"/>
      <c r="AR787" s="38"/>
      <c r="AS787" s="38"/>
      <c r="AT787" s="38"/>
      <c r="AU787" s="38"/>
      <c r="AV787" s="38"/>
      <c r="AW787" s="38"/>
      <c r="AX787" s="38"/>
      <c r="AY787" s="38"/>
      <c r="AZ787" s="38"/>
      <c r="BA787" s="38"/>
      <c r="BB787" s="38"/>
      <c r="BC787" s="38"/>
      <c r="BD787" s="38"/>
      <c r="BE787" s="38"/>
      <c r="BF787" s="38"/>
      <c r="BG787" s="38"/>
      <c r="BH787" s="38"/>
      <c r="BI787" s="38"/>
      <c r="BJ787" s="38"/>
      <c r="BK787" s="38"/>
      <c r="BL787" s="38"/>
      <c r="BM787" s="38"/>
      <c r="BN787" s="38"/>
      <c r="BO787" s="38"/>
      <c r="BP787" s="38"/>
      <c r="BQ787" s="38"/>
      <c r="BR787" s="38"/>
    </row>
    <row r="788" spans="1:70">
      <c r="A788" s="38"/>
      <c r="B788" s="38"/>
      <c r="C788" s="43"/>
      <c r="D788" s="38"/>
      <c r="E788" s="38"/>
      <c r="F788" s="43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  <c r="AI788" s="38"/>
      <c r="AJ788" s="38"/>
      <c r="AK788" s="38"/>
      <c r="AL788" s="38"/>
      <c r="AM788" s="38"/>
      <c r="AN788" s="38"/>
      <c r="AO788" s="38"/>
      <c r="AP788" s="38"/>
      <c r="AQ788" s="38"/>
      <c r="AR788" s="38"/>
      <c r="AS788" s="38"/>
      <c r="AT788" s="38"/>
      <c r="AU788" s="38"/>
      <c r="AV788" s="38"/>
      <c r="AW788" s="38"/>
      <c r="AX788" s="38"/>
      <c r="AY788" s="38"/>
      <c r="AZ788" s="38"/>
      <c r="BA788" s="38"/>
      <c r="BB788" s="38"/>
      <c r="BC788" s="38"/>
      <c r="BD788" s="38"/>
      <c r="BE788" s="38"/>
      <c r="BF788" s="38"/>
      <c r="BG788" s="38"/>
      <c r="BH788" s="38"/>
      <c r="BI788" s="38"/>
      <c r="BJ788" s="38"/>
      <c r="BK788" s="38"/>
      <c r="BL788" s="38"/>
      <c r="BM788" s="38"/>
      <c r="BN788" s="38"/>
      <c r="BO788" s="38"/>
      <c r="BP788" s="38"/>
      <c r="BQ788" s="38"/>
      <c r="BR788" s="38"/>
    </row>
    <row r="789" spans="1:70">
      <c r="A789" s="38"/>
      <c r="B789" s="38"/>
      <c r="C789" s="43"/>
      <c r="D789" s="38"/>
      <c r="E789" s="38"/>
      <c r="F789" s="43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  <c r="AI789" s="38"/>
      <c r="AJ789" s="38"/>
      <c r="AK789" s="38"/>
      <c r="AL789" s="38"/>
      <c r="AM789" s="38"/>
      <c r="AN789" s="38"/>
      <c r="AO789" s="38"/>
      <c r="AP789" s="38"/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  <c r="BA789" s="38"/>
      <c r="BB789" s="38"/>
      <c r="BC789" s="38"/>
      <c r="BD789" s="38"/>
      <c r="BE789" s="38"/>
      <c r="BF789" s="38"/>
      <c r="BG789" s="38"/>
      <c r="BH789" s="38"/>
      <c r="BI789" s="38"/>
      <c r="BJ789" s="38"/>
      <c r="BK789" s="38"/>
      <c r="BL789" s="38"/>
      <c r="BM789" s="38"/>
      <c r="BN789" s="38"/>
      <c r="BO789" s="38"/>
      <c r="BP789" s="38"/>
      <c r="BQ789" s="38"/>
      <c r="BR789" s="38"/>
    </row>
    <row r="790" spans="1:70">
      <c r="A790" s="38"/>
      <c r="B790" s="38"/>
      <c r="C790" s="43"/>
      <c r="D790" s="38"/>
      <c r="E790" s="38"/>
      <c r="F790" s="43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  <c r="AI790" s="38"/>
      <c r="AJ790" s="38"/>
      <c r="AK790" s="38"/>
      <c r="AL790" s="38"/>
      <c r="AM790" s="38"/>
      <c r="AN790" s="38"/>
      <c r="AO790" s="38"/>
      <c r="AP790" s="38"/>
      <c r="AQ790" s="38"/>
      <c r="AR790" s="38"/>
      <c r="AS790" s="38"/>
      <c r="AT790" s="38"/>
      <c r="AU790" s="38"/>
      <c r="AV790" s="38"/>
      <c r="AW790" s="38"/>
      <c r="AX790" s="38"/>
      <c r="AY790" s="38"/>
      <c r="AZ790" s="38"/>
      <c r="BA790" s="38"/>
      <c r="BB790" s="38"/>
      <c r="BC790" s="38"/>
      <c r="BD790" s="38"/>
      <c r="BE790" s="38"/>
      <c r="BF790" s="38"/>
      <c r="BG790" s="38"/>
      <c r="BH790" s="38"/>
      <c r="BI790" s="38"/>
      <c r="BJ790" s="38"/>
      <c r="BK790" s="38"/>
      <c r="BL790" s="38"/>
      <c r="BM790" s="38"/>
      <c r="BN790" s="38"/>
      <c r="BO790" s="38"/>
      <c r="BP790" s="38"/>
      <c r="BQ790" s="38"/>
      <c r="BR790" s="38"/>
    </row>
    <row r="791" spans="1:70">
      <c r="A791" s="38"/>
      <c r="B791" s="38"/>
      <c r="C791" s="43"/>
      <c r="D791" s="38"/>
      <c r="E791" s="38"/>
      <c r="F791" s="43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  <c r="AI791" s="38"/>
      <c r="AJ791" s="38"/>
      <c r="AK791" s="38"/>
      <c r="AL791" s="38"/>
      <c r="AM791" s="38"/>
      <c r="AN791" s="38"/>
      <c r="AO791" s="38"/>
      <c r="AP791" s="38"/>
      <c r="AQ791" s="38"/>
      <c r="AR791" s="38"/>
      <c r="AS791" s="38"/>
      <c r="AT791" s="38"/>
      <c r="AU791" s="38"/>
      <c r="AV791" s="38"/>
      <c r="AW791" s="38"/>
      <c r="AX791" s="38"/>
      <c r="AY791" s="38"/>
      <c r="AZ791" s="38"/>
      <c r="BA791" s="38"/>
      <c r="BB791" s="38"/>
      <c r="BC791" s="38"/>
      <c r="BD791" s="38"/>
      <c r="BE791" s="38"/>
      <c r="BF791" s="38"/>
      <c r="BG791" s="38"/>
      <c r="BH791" s="38"/>
      <c r="BI791" s="38"/>
      <c r="BJ791" s="38"/>
      <c r="BK791" s="38"/>
      <c r="BL791" s="38"/>
      <c r="BM791" s="38"/>
      <c r="BN791" s="38"/>
      <c r="BO791" s="38"/>
      <c r="BP791" s="38"/>
      <c r="BQ791" s="38"/>
      <c r="BR791" s="38"/>
    </row>
    <row r="792" spans="1:70">
      <c r="A792" s="38"/>
      <c r="B792" s="38"/>
      <c r="C792" s="43"/>
      <c r="D792" s="38"/>
      <c r="E792" s="38"/>
      <c r="F792" s="43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  <c r="AI792" s="38"/>
      <c r="AJ792" s="38"/>
      <c r="AK792" s="38"/>
      <c r="AL792" s="38"/>
      <c r="AM792" s="38"/>
      <c r="AN792" s="38"/>
      <c r="AO792" s="38"/>
      <c r="AP792" s="38"/>
      <c r="AQ792" s="38"/>
      <c r="AR792" s="38"/>
      <c r="AS792" s="38"/>
      <c r="AT792" s="38"/>
      <c r="AU792" s="38"/>
      <c r="AV792" s="38"/>
      <c r="AW792" s="38"/>
      <c r="AX792" s="38"/>
      <c r="AY792" s="38"/>
      <c r="AZ792" s="38"/>
      <c r="BA792" s="38"/>
      <c r="BB792" s="38"/>
      <c r="BC792" s="38"/>
      <c r="BD792" s="38"/>
      <c r="BE792" s="38"/>
      <c r="BF792" s="38"/>
      <c r="BG792" s="38"/>
      <c r="BH792" s="38"/>
      <c r="BI792" s="38"/>
      <c r="BJ792" s="38"/>
      <c r="BK792" s="38"/>
      <c r="BL792" s="38"/>
      <c r="BM792" s="38"/>
      <c r="BN792" s="38"/>
      <c r="BO792" s="38"/>
      <c r="BP792" s="38"/>
      <c r="BQ792" s="38"/>
      <c r="BR792" s="38"/>
    </row>
    <row r="793" spans="1:70">
      <c r="A793" s="38"/>
      <c r="B793" s="38"/>
      <c r="C793" s="43"/>
      <c r="D793" s="38"/>
      <c r="E793" s="38"/>
      <c r="F793" s="43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  <c r="AI793" s="38"/>
      <c r="AJ793" s="38"/>
      <c r="AK793" s="38"/>
      <c r="AL793" s="38"/>
      <c r="AM793" s="38"/>
      <c r="AN793" s="38"/>
      <c r="AO793" s="38"/>
      <c r="AP793" s="38"/>
      <c r="AQ793" s="38"/>
      <c r="AR793" s="38"/>
      <c r="AS793" s="38"/>
      <c r="AT793" s="38"/>
      <c r="AU793" s="38"/>
      <c r="AV793" s="38"/>
      <c r="AW793" s="38"/>
      <c r="AX793" s="38"/>
      <c r="AY793" s="38"/>
      <c r="AZ793" s="38"/>
      <c r="BA793" s="38"/>
      <c r="BB793" s="38"/>
      <c r="BC793" s="38"/>
      <c r="BD793" s="38"/>
      <c r="BE793" s="38"/>
      <c r="BF793" s="38"/>
      <c r="BG793" s="38"/>
      <c r="BH793" s="38"/>
      <c r="BI793" s="38"/>
      <c r="BJ793" s="38"/>
      <c r="BK793" s="38"/>
      <c r="BL793" s="38"/>
      <c r="BM793" s="38"/>
      <c r="BN793" s="38"/>
      <c r="BO793" s="38"/>
      <c r="BP793" s="38"/>
      <c r="BQ793" s="38"/>
      <c r="BR793" s="38"/>
    </row>
    <row r="794" spans="1:70">
      <c r="A794" s="38"/>
      <c r="B794" s="38"/>
      <c r="C794" s="43"/>
      <c r="D794" s="38"/>
      <c r="E794" s="38"/>
      <c r="F794" s="43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  <c r="AI794" s="38"/>
      <c r="AJ794" s="38"/>
      <c r="AK794" s="38"/>
      <c r="AL794" s="38"/>
      <c r="AM794" s="38"/>
      <c r="AN794" s="38"/>
      <c r="AO794" s="38"/>
      <c r="AP794" s="38"/>
      <c r="AQ794" s="38"/>
      <c r="AR794" s="38"/>
      <c r="AS794" s="38"/>
      <c r="AT794" s="38"/>
      <c r="AU794" s="38"/>
      <c r="AV794" s="38"/>
      <c r="AW794" s="38"/>
      <c r="AX794" s="38"/>
      <c r="AY794" s="38"/>
      <c r="AZ794" s="38"/>
      <c r="BA794" s="38"/>
      <c r="BB794" s="38"/>
      <c r="BC794" s="38"/>
      <c r="BD794" s="38"/>
      <c r="BE794" s="38"/>
      <c r="BF794" s="38"/>
      <c r="BG794" s="38"/>
      <c r="BH794" s="38"/>
      <c r="BI794" s="38"/>
      <c r="BJ794" s="38"/>
      <c r="BK794" s="38"/>
      <c r="BL794" s="38"/>
      <c r="BM794" s="38"/>
      <c r="BN794" s="38"/>
      <c r="BO794" s="38"/>
      <c r="BP794" s="38"/>
      <c r="BQ794" s="38"/>
      <c r="BR794" s="38"/>
    </row>
    <row r="795" spans="1:70">
      <c r="A795" s="38"/>
      <c r="B795" s="38"/>
      <c r="C795" s="43"/>
      <c r="D795" s="38"/>
      <c r="E795" s="38"/>
      <c r="F795" s="43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  <c r="AI795" s="38"/>
      <c r="AJ795" s="38"/>
      <c r="AK795" s="38"/>
      <c r="AL795" s="38"/>
      <c r="AM795" s="38"/>
      <c r="AN795" s="38"/>
      <c r="AO795" s="38"/>
      <c r="AP795" s="38"/>
      <c r="AQ795" s="38"/>
      <c r="AR795" s="38"/>
      <c r="AS795" s="38"/>
      <c r="AT795" s="38"/>
      <c r="AU795" s="38"/>
      <c r="AV795" s="38"/>
      <c r="AW795" s="38"/>
      <c r="AX795" s="38"/>
      <c r="AY795" s="38"/>
      <c r="AZ795" s="38"/>
      <c r="BA795" s="38"/>
      <c r="BB795" s="38"/>
      <c r="BC795" s="38"/>
      <c r="BD795" s="38"/>
      <c r="BE795" s="38"/>
      <c r="BF795" s="38"/>
      <c r="BG795" s="38"/>
      <c r="BH795" s="38"/>
      <c r="BI795" s="38"/>
      <c r="BJ795" s="38"/>
      <c r="BK795" s="38"/>
      <c r="BL795" s="38"/>
      <c r="BM795" s="38"/>
      <c r="BN795" s="38"/>
      <c r="BO795" s="38"/>
      <c r="BP795" s="38"/>
      <c r="BQ795" s="38"/>
      <c r="BR795" s="38"/>
    </row>
    <row r="796" spans="1:70">
      <c r="A796" s="38"/>
      <c r="B796" s="38"/>
      <c r="C796" s="43"/>
      <c r="D796" s="38"/>
      <c r="E796" s="38"/>
      <c r="F796" s="43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  <c r="AI796" s="38"/>
      <c r="AJ796" s="38"/>
      <c r="AK796" s="38"/>
      <c r="AL796" s="38"/>
      <c r="AM796" s="38"/>
      <c r="AN796" s="38"/>
      <c r="AO796" s="38"/>
      <c r="AP796" s="38"/>
      <c r="AQ796" s="38"/>
      <c r="AR796" s="38"/>
      <c r="AS796" s="38"/>
      <c r="AT796" s="38"/>
      <c r="AU796" s="38"/>
      <c r="AV796" s="38"/>
      <c r="AW796" s="38"/>
      <c r="AX796" s="38"/>
      <c r="AY796" s="38"/>
      <c r="AZ796" s="38"/>
      <c r="BA796" s="38"/>
      <c r="BB796" s="38"/>
      <c r="BC796" s="38"/>
      <c r="BD796" s="38"/>
      <c r="BE796" s="38"/>
      <c r="BF796" s="38"/>
      <c r="BG796" s="38"/>
      <c r="BH796" s="38"/>
      <c r="BI796" s="38"/>
      <c r="BJ796" s="38"/>
      <c r="BK796" s="38"/>
      <c r="BL796" s="38"/>
      <c r="BM796" s="38"/>
      <c r="BN796" s="38"/>
      <c r="BO796" s="38"/>
      <c r="BP796" s="38"/>
      <c r="BQ796" s="38"/>
      <c r="BR796" s="38"/>
    </row>
    <row r="797" spans="1:70">
      <c r="A797" s="38"/>
      <c r="B797" s="38"/>
      <c r="C797" s="43"/>
      <c r="D797" s="38"/>
      <c r="E797" s="38"/>
      <c r="F797" s="43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  <c r="AI797" s="38"/>
      <c r="AJ797" s="38"/>
      <c r="AK797" s="38"/>
      <c r="AL797" s="38"/>
      <c r="AM797" s="38"/>
      <c r="AN797" s="38"/>
      <c r="AO797" s="38"/>
      <c r="AP797" s="38"/>
      <c r="AQ797" s="38"/>
      <c r="AR797" s="38"/>
      <c r="AS797" s="38"/>
      <c r="AT797" s="38"/>
      <c r="AU797" s="38"/>
      <c r="AV797" s="38"/>
      <c r="AW797" s="38"/>
      <c r="AX797" s="38"/>
      <c r="AY797" s="38"/>
      <c r="AZ797" s="38"/>
      <c r="BA797" s="38"/>
      <c r="BB797" s="38"/>
      <c r="BC797" s="38"/>
      <c r="BD797" s="38"/>
      <c r="BE797" s="38"/>
      <c r="BF797" s="38"/>
      <c r="BG797" s="38"/>
      <c r="BH797" s="38"/>
      <c r="BI797" s="38"/>
      <c r="BJ797" s="38"/>
      <c r="BK797" s="38"/>
      <c r="BL797" s="38"/>
      <c r="BM797" s="38"/>
      <c r="BN797" s="38"/>
      <c r="BO797" s="38"/>
      <c r="BP797" s="38"/>
      <c r="BQ797" s="38"/>
      <c r="BR797" s="38"/>
    </row>
    <row r="798" spans="1:70">
      <c r="A798" s="38"/>
      <c r="B798" s="38"/>
      <c r="C798" s="43"/>
      <c r="D798" s="38"/>
      <c r="E798" s="38"/>
      <c r="F798" s="43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  <c r="AI798" s="38"/>
      <c r="AJ798" s="38"/>
      <c r="AK798" s="38"/>
      <c r="AL798" s="38"/>
      <c r="AM798" s="38"/>
      <c r="AN798" s="38"/>
      <c r="AO798" s="38"/>
      <c r="AP798" s="38"/>
      <c r="AQ798" s="38"/>
      <c r="AR798" s="38"/>
      <c r="AS798" s="38"/>
      <c r="AT798" s="38"/>
      <c r="AU798" s="38"/>
      <c r="AV798" s="38"/>
      <c r="AW798" s="38"/>
      <c r="AX798" s="38"/>
      <c r="AY798" s="38"/>
      <c r="AZ798" s="38"/>
      <c r="BA798" s="38"/>
      <c r="BB798" s="38"/>
      <c r="BC798" s="38"/>
      <c r="BD798" s="38"/>
      <c r="BE798" s="38"/>
      <c r="BF798" s="38"/>
      <c r="BG798" s="38"/>
      <c r="BH798" s="38"/>
      <c r="BI798" s="38"/>
      <c r="BJ798" s="38"/>
      <c r="BK798" s="38"/>
      <c r="BL798" s="38"/>
      <c r="BM798" s="38"/>
      <c r="BN798" s="38"/>
      <c r="BO798" s="38"/>
      <c r="BP798" s="38"/>
      <c r="BQ798" s="38"/>
      <c r="BR798" s="38"/>
    </row>
    <row r="799" spans="1:70">
      <c r="A799" s="38"/>
      <c r="B799" s="38"/>
      <c r="C799" s="43"/>
      <c r="D799" s="38"/>
      <c r="E799" s="38"/>
      <c r="F799" s="43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  <c r="AI799" s="38"/>
      <c r="AJ799" s="38"/>
      <c r="AK799" s="38"/>
      <c r="AL799" s="38"/>
      <c r="AM799" s="38"/>
      <c r="AN799" s="38"/>
      <c r="AO799" s="38"/>
      <c r="AP799" s="38"/>
      <c r="AQ799" s="38"/>
      <c r="AR799" s="38"/>
      <c r="AS799" s="38"/>
      <c r="AT799" s="38"/>
      <c r="AU799" s="38"/>
      <c r="AV799" s="38"/>
      <c r="AW799" s="38"/>
      <c r="AX799" s="38"/>
      <c r="AY799" s="38"/>
      <c r="AZ799" s="38"/>
      <c r="BA799" s="38"/>
      <c r="BB799" s="38"/>
      <c r="BC799" s="38"/>
      <c r="BD799" s="38"/>
      <c r="BE799" s="38"/>
      <c r="BF799" s="38"/>
      <c r="BG799" s="38"/>
      <c r="BH799" s="38"/>
      <c r="BI799" s="38"/>
      <c r="BJ799" s="38"/>
      <c r="BK799" s="38"/>
      <c r="BL799" s="38"/>
      <c r="BM799" s="38"/>
      <c r="BN799" s="38"/>
      <c r="BO799" s="38"/>
      <c r="BP799" s="38"/>
      <c r="BQ799" s="38"/>
      <c r="BR799" s="38"/>
    </row>
    <row r="800" spans="1:70">
      <c r="A800" s="38"/>
      <c r="B800" s="38"/>
      <c r="C800" s="43"/>
      <c r="D800" s="38"/>
      <c r="E800" s="38"/>
      <c r="F800" s="43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  <c r="AI800" s="38"/>
      <c r="AJ800" s="38"/>
      <c r="AK800" s="38"/>
      <c r="AL800" s="38"/>
      <c r="AM800" s="38"/>
      <c r="AN800" s="38"/>
      <c r="AO800" s="38"/>
      <c r="AP800" s="38"/>
      <c r="AQ800" s="38"/>
      <c r="AR800" s="38"/>
      <c r="AS800" s="38"/>
      <c r="AT800" s="38"/>
      <c r="AU800" s="38"/>
      <c r="AV800" s="38"/>
      <c r="AW800" s="38"/>
      <c r="AX800" s="38"/>
      <c r="AY800" s="38"/>
      <c r="AZ800" s="38"/>
      <c r="BA800" s="38"/>
      <c r="BB800" s="38"/>
      <c r="BC800" s="38"/>
      <c r="BD800" s="38"/>
      <c r="BE800" s="38"/>
      <c r="BF800" s="38"/>
      <c r="BG800" s="38"/>
      <c r="BH800" s="38"/>
      <c r="BI800" s="38"/>
      <c r="BJ800" s="38"/>
      <c r="BK800" s="38"/>
      <c r="BL800" s="38"/>
      <c r="BM800" s="38"/>
      <c r="BN800" s="38"/>
      <c r="BO800" s="38"/>
      <c r="BP800" s="38"/>
      <c r="BQ800" s="38"/>
      <c r="BR800" s="38"/>
    </row>
    <row r="801" spans="1:70">
      <c r="A801" s="38"/>
      <c r="B801" s="38"/>
      <c r="C801" s="43"/>
      <c r="D801" s="38"/>
      <c r="E801" s="38"/>
      <c r="F801" s="43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8"/>
      <c r="AJ801" s="38"/>
      <c r="AK801" s="38"/>
      <c r="AL801" s="38"/>
      <c r="AM801" s="38"/>
      <c r="AN801" s="38"/>
      <c r="AO801" s="38"/>
      <c r="AP801" s="38"/>
      <c r="AQ801" s="38"/>
      <c r="AR801" s="38"/>
      <c r="AS801" s="38"/>
      <c r="AT801" s="38"/>
      <c r="AU801" s="38"/>
      <c r="AV801" s="38"/>
      <c r="AW801" s="38"/>
      <c r="AX801" s="38"/>
      <c r="AY801" s="38"/>
      <c r="AZ801" s="38"/>
      <c r="BA801" s="38"/>
      <c r="BB801" s="38"/>
      <c r="BC801" s="38"/>
      <c r="BD801" s="38"/>
      <c r="BE801" s="38"/>
      <c r="BF801" s="38"/>
      <c r="BG801" s="38"/>
      <c r="BH801" s="38"/>
      <c r="BI801" s="38"/>
      <c r="BJ801" s="38"/>
      <c r="BK801" s="38"/>
      <c r="BL801" s="38"/>
      <c r="BM801" s="38"/>
      <c r="BN801" s="38"/>
      <c r="BO801" s="38"/>
      <c r="BP801" s="38"/>
      <c r="BQ801" s="38"/>
      <c r="BR801" s="38"/>
    </row>
    <row r="802" spans="1:70">
      <c r="A802" s="38"/>
      <c r="B802" s="38"/>
      <c r="C802" s="43"/>
      <c r="D802" s="38"/>
      <c r="E802" s="38"/>
      <c r="F802" s="43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8"/>
      <c r="AJ802" s="38"/>
      <c r="AK802" s="38"/>
      <c r="AL802" s="38"/>
      <c r="AM802" s="38"/>
      <c r="AN802" s="38"/>
      <c r="AO802" s="38"/>
      <c r="AP802" s="38"/>
      <c r="AQ802" s="38"/>
      <c r="AR802" s="38"/>
      <c r="AS802" s="38"/>
      <c r="AT802" s="38"/>
      <c r="AU802" s="38"/>
      <c r="AV802" s="38"/>
      <c r="AW802" s="38"/>
      <c r="AX802" s="38"/>
      <c r="AY802" s="38"/>
      <c r="AZ802" s="38"/>
      <c r="BA802" s="38"/>
      <c r="BB802" s="38"/>
      <c r="BC802" s="38"/>
      <c r="BD802" s="38"/>
      <c r="BE802" s="38"/>
      <c r="BF802" s="38"/>
      <c r="BG802" s="38"/>
      <c r="BH802" s="38"/>
      <c r="BI802" s="38"/>
      <c r="BJ802" s="38"/>
      <c r="BK802" s="38"/>
      <c r="BL802" s="38"/>
      <c r="BM802" s="38"/>
      <c r="BN802" s="38"/>
      <c r="BO802" s="38"/>
      <c r="BP802" s="38"/>
      <c r="BQ802" s="38"/>
      <c r="BR802" s="38"/>
    </row>
    <row r="803" spans="1:70">
      <c r="A803" s="38"/>
      <c r="B803" s="38"/>
      <c r="C803" s="43"/>
      <c r="D803" s="38"/>
      <c r="E803" s="38"/>
      <c r="F803" s="43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8"/>
      <c r="AJ803" s="38"/>
      <c r="AK803" s="38"/>
      <c r="AL803" s="38"/>
      <c r="AM803" s="38"/>
      <c r="AN803" s="38"/>
      <c r="AO803" s="38"/>
      <c r="AP803" s="38"/>
      <c r="AQ803" s="38"/>
      <c r="AR803" s="38"/>
      <c r="AS803" s="38"/>
      <c r="AT803" s="38"/>
      <c r="AU803" s="38"/>
      <c r="AV803" s="38"/>
      <c r="AW803" s="38"/>
      <c r="AX803" s="38"/>
      <c r="AY803" s="38"/>
      <c r="AZ803" s="38"/>
      <c r="BA803" s="38"/>
      <c r="BB803" s="38"/>
      <c r="BC803" s="38"/>
      <c r="BD803" s="38"/>
      <c r="BE803" s="38"/>
      <c r="BF803" s="38"/>
      <c r="BG803" s="38"/>
      <c r="BH803" s="38"/>
      <c r="BI803" s="38"/>
      <c r="BJ803" s="38"/>
      <c r="BK803" s="38"/>
      <c r="BL803" s="38"/>
      <c r="BM803" s="38"/>
      <c r="BN803" s="38"/>
      <c r="BO803" s="38"/>
      <c r="BP803" s="38"/>
      <c r="BQ803" s="38"/>
      <c r="BR803" s="38"/>
    </row>
    <row r="804" spans="1:70">
      <c r="A804" s="38"/>
      <c r="B804" s="38"/>
      <c r="C804" s="43"/>
      <c r="D804" s="38"/>
      <c r="E804" s="38"/>
      <c r="F804" s="43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8"/>
      <c r="AJ804" s="38"/>
      <c r="AK804" s="38"/>
      <c r="AL804" s="38"/>
      <c r="AM804" s="38"/>
      <c r="AN804" s="38"/>
      <c r="AO804" s="38"/>
      <c r="AP804" s="38"/>
      <c r="AQ804" s="38"/>
      <c r="AR804" s="38"/>
      <c r="AS804" s="38"/>
      <c r="AT804" s="38"/>
      <c r="AU804" s="38"/>
      <c r="AV804" s="38"/>
      <c r="AW804" s="38"/>
      <c r="AX804" s="38"/>
      <c r="AY804" s="38"/>
      <c r="AZ804" s="38"/>
      <c r="BA804" s="38"/>
      <c r="BB804" s="38"/>
      <c r="BC804" s="38"/>
      <c r="BD804" s="38"/>
      <c r="BE804" s="38"/>
      <c r="BF804" s="38"/>
      <c r="BG804" s="38"/>
      <c r="BH804" s="38"/>
      <c r="BI804" s="38"/>
      <c r="BJ804" s="38"/>
      <c r="BK804" s="38"/>
      <c r="BL804" s="38"/>
      <c r="BM804" s="38"/>
      <c r="BN804" s="38"/>
      <c r="BO804" s="38"/>
      <c r="BP804" s="38"/>
      <c r="BQ804" s="38"/>
      <c r="BR804" s="38"/>
    </row>
    <row r="805" spans="1:70">
      <c r="A805" s="38"/>
      <c r="B805" s="38"/>
      <c r="C805" s="43"/>
      <c r="D805" s="38"/>
      <c r="E805" s="38"/>
      <c r="F805" s="43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8"/>
      <c r="AJ805" s="38"/>
      <c r="AK805" s="38"/>
      <c r="AL805" s="38"/>
      <c r="AM805" s="38"/>
      <c r="AN805" s="38"/>
      <c r="AO805" s="38"/>
      <c r="AP805" s="38"/>
      <c r="AQ805" s="38"/>
      <c r="AR805" s="38"/>
      <c r="AS805" s="38"/>
      <c r="AT805" s="38"/>
      <c r="AU805" s="38"/>
      <c r="AV805" s="38"/>
      <c r="AW805" s="38"/>
      <c r="AX805" s="38"/>
      <c r="AY805" s="38"/>
      <c r="AZ805" s="38"/>
      <c r="BA805" s="38"/>
      <c r="BB805" s="38"/>
      <c r="BC805" s="38"/>
      <c r="BD805" s="38"/>
      <c r="BE805" s="38"/>
      <c r="BF805" s="38"/>
      <c r="BG805" s="38"/>
      <c r="BH805" s="38"/>
      <c r="BI805" s="38"/>
      <c r="BJ805" s="38"/>
      <c r="BK805" s="38"/>
      <c r="BL805" s="38"/>
      <c r="BM805" s="38"/>
      <c r="BN805" s="38"/>
      <c r="BO805" s="38"/>
      <c r="BP805" s="38"/>
      <c r="BQ805" s="38"/>
      <c r="BR805" s="38"/>
    </row>
    <row r="806" spans="1:70">
      <c r="A806" s="38"/>
      <c r="B806" s="38"/>
      <c r="C806" s="43"/>
      <c r="D806" s="38"/>
      <c r="E806" s="38"/>
      <c r="F806" s="43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8"/>
      <c r="AJ806" s="38"/>
      <c r="AK806" s="38"/>
      <c r="AL806" s="38"/>
      <c r="AM806" s="38"/>
      <c r="AN806" s="38"/>
      <c r="AO806" s="38"/>
      <c r="AP806" s="38"/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  <c r="BA806" s="38"/>
      <c r="BB806" s="38"/>
      <c r="BC806" s="38"/>
      <c r="BD806" s="38"/>
      <c r="BE806" s="38"/>
      <c r="BF806" s="38"/>
      <c r="BG806" s="38"/>
      <c r="BH806" s="38"/>
      <c r="BI806" s="38"/>
      <c r="BJ806" s="38"/>
      <c r="BK806" s="38"/>
      <c r="BL806" s="38"/>
      <c r="BM806" s="38"/>
      <c r="BN806" s="38"/>
      <c r="BO806" s="38"/>
      <c r="BP806" s="38"/>
      <c r="BQ806" s="38"/>
      <c r="BR806" s="38"/>
    </row>
    <row r="807" spans="1:70">
      <c r="A807" s="38"/>
      <c r="B807" s="38"/>
      <c r="C807" s="43"/>
      <c r="D807" s="38"/>
      <c r="E807" s="38"/>
      <c r="F807" s="43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8"/>
      <c r="AJ807" s="38"/>
      <c r="AK807" s="38"/>
      <c r="AL807" s="38"/>
      <c r="AM807" s="38"/>
      <c r="AN807" s="38"/>
      <c r="AO807" s="38"/>
      <c r="AP807" s="38"/>
      <c r="AQ807" s="38"/>
      <c r="AR807" s="38"/>
      <c r="AS807" s="38"/>
      <c r="AT807" s="38"/>
      <c r="AU807" s="38"/>
      <c r="AV807" s="38"/>
      <c r="AW807" s="38"/>
      <c r="AX807" s="38"/>
      <c r="AY807" s="38"/>
      <c r="AZ807" s="38"/>
      <c r="BA807" s="38"/>
      <c r="BB807" s="38"/>
      <c r="BC807" s="38"/>
      <c r="BD807" s="38"/>
      <c r="BE807" s="38"/>
      <c r="BF807" s="38"/>
      <c r="BG807" s="38"/>
      <c r="BH807" s="38"/>
      <c r="BI807" s="38"/>
      <c r="BJ807" s="38"/>
      <c r="BK807" s="38"/>
      <c r="BL807" s="38"/>
      <c r="BM807" s="38"/>
      <c r="BN807" s="38"/>
      <c r="BO807" s="38"/>
      <c r="BP807" s="38"/>
      <c r="BQ807" s="38"/>
      <c r="BR807" s="38"/>
    </row>
    <row r="808" spans="1:70">
      <c r="A808" s="38"/>
      <c r="B808" s="38"/>
      <c r="C808" s="43"/>
      <c r="D808" s="38"/>
      <c r="E808" s="38"/>
      <c r="F808" s="43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8"/>
      <c r="AJ808" s="38"/>
      <c r="AK808" s="38"/>
      <c r="AL808" s="38"/>
      <c r="AM808" s="38"/>
      <c r="AN808" s="38"/>
      <c r="AO808" s="38"/>
      <c r="AP808" s="38"/>
      <c r="AQ808" s="38"/>
      <c r="AR808" s="38"/>
      <c r="AS808" s="38"/>
      <c r="AT808" s="38"/>
      <c r="AU808" s="38"/>
      <c r="AV808" s="38"/>
      <c r="AW808" s="38"/>
      <c r="AX808" s="38"/>
      <c r="AY808" s="38"/>
      <c r="AZ808" s="38"/>
      <c r="BA808" s="38"/>
      <c r="BB808" s="38"/>
      <c r="BC808" s="38"/>
      <c r="BD808" s="38"/>
      <c r="BE808" s="38"/>
      <c r="BF808" s="38"/>
      <c r="BG808" s="38"/>
      <c r="BH808" s="38"/>
      <c r="BI808" s="38"/>
      <c r="BJ808" s="38"/>
      <c r="BK808" s="38"/>
      <c r="BL808" s="38"/>
      <c r="BM808" s="38"/>
      <c r="BN808" s="38"/>
      <c r="BO808" s="38"/>
      <c r="BP808" s="38"/>
      <c r="BQ808" s="38"/>
      <c r="BR808" s="38"/>
    </row>
    <row r="809" spans="1:70">
      <c r="A809" s="38"/>
      <c r="B809" s="38"/>
      <c r="C809" s="43"/>
      <c r="D809" s="38"/>
      <c r="E809" s="38"/>
      <c r="F809" s="43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8"/>
      <c r="AJ809" s="38"/>
      <c r="AK809" s="38"/>
      <c r="AL809" s="38"/>
      <c r="AM809" s="38"/>
      <c r="AN809" s="38"/>
      <c r="AO809" s="38"/>
      <c r="AP809" s="38"/>
      <c r="AQ809" s="38"/>
      <c r="AR809" s="38"/>
      <c r="AS809" s="38"/>
      <c r="AT809" s="38"/>
      <c r="AU809" s="38"/>
      <c r="AV809" s="38"/>
      <c r="AW809" s="38"/>
      <c r="AX809" s="38"/>
      <c r="AY809" s="38"/>
      <c r="AZ809" s="38"/>
      <c r="BA809" s="38"/>
      <c r="BB809" s="38"/>
      <c r="BC809" s="38"/>
      <c r="BD809" s="38"/>
      <c r="BE809" s="38"/>
      <c r="BF809" s="38"/>
      <c r="BG809" s="38"/>
      <c r="BH809" s="38"/>
      <c r="BI809" s="38"/>
      <c r="BJ809" s="38"/>
      <c r="BK809" s="38"/>
      <c r="BL809" s="38"/>
      <c r="BM809" s="38"/>
      <c r="BN809" s="38"/>
      <c r="BO809" s="38"/>
      <c r="BP809" s="38"/>
      <c r="BQ809" s="38"/>
      <c r="BR809" s="38"/>
    </row>
    <row r="810" spans="1:70">
      <c r="A810" s="38"/>
      <c r="B810" s="38"/>
      <c r="C810" s="43"/>
      <c r="D810" s="38"/>
      <c r="E810" s="38"/>
      <c r="F810" s="43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8"/>
      <c r="AJ810" s="38"/>
      <c r="AK810" s="38"/>
      <c r="AL810" s="38"/>
      <c r="AM810" s="38"/>
      <c r="AN810" s="38"/>
      <c r="AO810" s="38"/>
      <c r="AP810" s="38"/>
      <c r="AQ810" s="38"/>
      <c r="AR810" s="38"/>
      <c r="AS810" s="38"/>
      <c r="AT810" s="38"/>
      <c r="AU810" s="38"/>
      <c r="AV810" s="38"/>
      <c r="AW810" s="38"/>
      <c r="AX810" s="38"/>
      <c r="AY810" s="38"/>
      <c r="AZ810" s="38"/>
      <c r="BA810" s="38"/>
      <c r="BB810" s="38"/>
      <c r="BC810" s="38"/>
      <c r="BD810" s="38"/>
      <c r="BE810" s="38"/>
      <c r="BF810" s="38"/>
      <c r="BG810" s="38"/>
      <c r="BH810" s="38"/>
      <c r="BI810" s="38"/>
      <c r="BJ810" s="38"/>
      <c r="BK810" s="38"/>
      <c r="BL810" s="38"/>
      <c r="BM810" s="38"/>
      <c r="BN810" s="38"/>
      <c r="BO810" s="38"/>
      <c r="BP810" s="38"/>
      <c r="BQ810" s="38"/>
      <c r="BR810" s="38"/>
    </row>
    <row r="811" spans="1:70">
      <c r="A811" s="38"/>
      <c r="B811" s="38"/>
      <c r="C811" s="43"/>
      <c r="D811" s="38"/>
      <c r="E811" s="38"/>
      <c r="F811" s="43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8"/>
      <c r="AJ811" s="38"/>
      <c r="AK811" s="38"/>
      <c r="AL811" s="38"/>
      <c r="AM811" s="38"/>
      <c r="AN811" s="38"/>
      <c r="AO811" s="38"/>
      <c r="AP811" s="38"/>
      <c r="AQ811" s="38"/>
      <c r="AR811" s="38"/>
      <c r="AS811" s="38"/>
      <c r="AT811" s="38"/>
      <c r="AU811" s="38"/>
      <c r="AV811" s="38"/>
      <c r="AW811" s="38"/>
      <c r="AX811" s="38"/>
      <c r="AY811" s="38"/>
      <c r="AZ811" s="38"/>
      <c r="BA811" s="38"/>
      <c r="BB811" s="38"/>
      <c r="BC811" s="38"/>
      <c r="BD811" s="38"/>
      <c r="BE811" s="38"/>
      <c r="BF811" s="38"/>
      <c r="BG811" s="38"/>
      <c r="BH811" s="38"/>
      <c r="BI811" s="38"/>
      <c r="BJ811" s="38"/>
      <c r="BK811" s="38"/>
      <c r="BL811" s="38"/>
      <c r="BM811" s="38"/>
      <c r="BN811" s="38"/>
      <c r="BO811" s="38"/>
      <c r="BP811" s="38"/>
      <c r="BQ811" s="38"/>
      <c r="BR811" s="38"/>
    </row>
    <row r="812" spans="1:70">
      <c r="A812" s="38"/>
      <c r="B812" s="38"/>
      <c r="C812" s="43"/>
      <c r="D812" s="38"/>
      <c r="E812" s="38"/>
      <c r="F812" s="43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8"/>
      <c r="AJ812" s="38"/>
      <c r="AK812" s="38"/>
      <c r="AL812" s="38"/>
      <c r="AM812" s="38"/>
      <c r="AN812" s="38"/>
      <c r="AO812" s="38"/>
      <c r="AP812" s="38"/>
      <c r="AQ812" s="38"/>
      <c r="AR812" s="38"/>
      <c r="AS812" s="38"/>
      <c r="AT812" s="38"/>
      <c r="AU812" s="38"/>
      <c r="AV812" s="38"/>
      <c r="AW812" s="38"/>
      <c r="AX812" s="38"/>
      <c r="AY812" s="38"/>
      <c r="AZ812" s="38"/>
      <c r="BA812" s="38"/>
      <c r="BB812" s="38"/>
      <c r="BC812" s="38"/>
      <c r="BD812" s="38"/>
      <c r="BE812" s="38"/>
      <c r="BF812" s="38"/>
      <c r="BG812" s="38"/>
      <c r="BH812" s="38"/>
      <c r="BI812" s="38"/>
      <c r="BJ812" s="38"/>
      <c r="BK812" s="38"/>
      <c r="BL812" s="38"/>
      <c r="BM812" s="38"/>
      <c r="BN812" s="38"/>
      <c r="BO812" s="38"/>
      <c r="BP812" s="38"/>
      <c r="BQ812" s="38"/>
      <c r="BR812" s="38"/>
    </row>
    <row r="813" spans="1:70">
      <c r="A813" s="38"/>
      <c r="B813" s="38"/>
      <c r="C813" s="43"/>
      <c r="D813" s="38"/>
      <c r="E813" s="38"/>
      <c r="F813" s="43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8"/>
      <c r="AJ813" s="38"/>
      <c r="AK813" s="38"/>
      <c r="AL813" s="38"/>
      <c r="AM813" s="38"/>
      <c r="AN813" s="38"/>
      <c r="AO813" s="38"/>
      <c r="AP813" s="38"/>
      <c r="AQ813" s="38"/>
      <c r="AR813" s="38"/>
      <c r="AS813" s="38"/>
      <c r="AT813" s="38"/>
      <c r="AU813" s="38"/>
      <c r="AV813" s="38"/>
      <c r="AW813" s="38"/>
      <c r="AX813" s="38"/>
      <c r="AY813" s="38"/>
      <c r="AZ813" s="38"/>
      <c r="BA813" s="38"/>
      <c r="BB813" s="38"/>
      <c r="BC813" s="38"/>
      <c r="BD813" s="38"/>
      <c r="BE813" s="38"/>
      <c r="BF813" s="38"/>
      <c r="BG813" s="38"/>
      <c r="BH813" s="38"/>
      <c r="BI813" s="38"/>
      <c r="BJ813" s="38"/>
      <c r="BK813" s="38"/>
      <c r="BL813" s="38"/>
      <c r="BM813" s="38"/>
      <c r="BN813" s="38"/>
      <c r="BO813" s="38"/>
      <c r="BP813" s="38"/>
      <c r="BQ813" s="38"/>
      <c r="BR813" s="38"/>
    </row>
    <row r="814" spans="1:70">
      <c r="A814" s="38"/>
      <c r="B814" s="38"/>
      <c r="C814" s="43"/>
      <c r="D814" s="38"/>
      <c r="E814" s="38"/>
      <c r="F814" s="43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8"/>
      <c r="AJ814" s="38"/>
      <c r="AK814" s="38"/>
      <c r="AL814" s="38"/>
      <c r="AM814" s="38"/>
      <c r="AN814" s="38"/>
      <c r="AO814" s="38"/>
      <c r="AP814" s="38"/>
      <c r="AQ814" s="38"/>
      <c r="AR814" s="38"/>
      <c r="AS814" s="38"/>
      <c r="AT814" s="38"/>
      <c r="AU814" s="38"/>
      <c r="AV814" s="38"/>
      <c r="AW814" s="38"/>
      <c r="AX814" s="38"/>
      <c r="AY814" s="38"/>
      <c r="AZ814" s="38"/>
      <c r="BA814" s="38"/>
      <c r="BB814" s="38"/>
      <c r="BC814" s="38"/>
      <c r="BD814" s="38"/>
      <c r="BE814" s="38"/>
      <c r="BF814" s="38"/>
      <c r="BG814" s="38"/>
      <c r="BH814" s="38"/>
      <c r="BI814" s="38"/>
      <c r="BJ814" s="38"/>
      <c r="BK814" s="38"/>
      <c r="BL814" s="38"/>
      <c r="BM814" s="38"/>
      <c r="BN814" s="38"/>
      <c r="BO814" s="38"/>
      <c r="BP814" s="38"/>
      <c r="BQ814" s="38"/>
      <c r="BR814" s="38"/>
    </row>
    <row r="815" spans="1:70">
      <c r="A815" s="38"/>
      <c r="B815" s="38"/>
      <c r="C815" s="43"/>
      <c r="D815" s="38"/>
      <c r="E815" s="38"/>
      <c r="F815" s="43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8"/>
      <c r="AJ815" s="38"/>
      <c r="AK815" s="38"/>
      <c r="AL815" s="38"/>
      <c r="AM815" s="38"/>
      <c r="AN815" s="38"/>
      <c r="AO815" s="38"/>
      <c r="AP815" s="38"/>
      <c r="AQ815" s="38"/>
      <c r="AR815" s="38"/>
      <c r="AS815" s="38"/>
      <c r="AT815" s="38"/>
      <c r="AU815" s="38"/>
      <c r="AV815" s="38"/>
      <c r="AW815" s="38"/>
      <c r="AX815" s="38"/>
      <c r="AY815" s="38"/>
      <c r="AZ815" s="38"/>
      <c r="BA815" s="38"/>
      <c r="BB815" s="38"/>
      <c r="BC815" s="38"/>
      <c r="BD815" s="38"/>
      <c r="BE815" s="38"/>
      <c r="BF815" s="38"/>
      <c r="BG815" s="38"/>
      <c r="BH815" s="38"/>
      <c r="BI815" s="38"/>
      <c r="BJ815" s="38"/>
      <c r="BK815" s="38"/>
      <c r="BL815" s="38"/>
      <c r="BM815" s="38"/>
      <c r="BN815" s="38"/>
      <c r="BO815" s="38"/>
      <c r="BP815" s="38"/>
      <c r="BQ815" s="38"/>
      <c r="BR815" s="38"/>
    </row>
    <row r="816" spans="1:70">
      <c r="A816" s="38"/>
      <c r="B816" s="38"/>
      <c r="C816" s="43"/>
      <c r="D816" s="38"/>
      <c r="E816" s="38"/>
      <c r="F816" s="43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8"/>
      <c r="AJ816" s="38"/>
      <c r="AK816" s="38"/>
      <c r="AL816" s="38"/>
      <c r="AM816" s="38"/>
      <c r="AN816" s="38"/>
      <c r="AO816" s="38"/>
      <c r="AP816" s="38"/>
      <c r="AQ816" s="38"/>
      <c r="AR816" s="38"/>
      <c r="AS816" s="38"/>
      <c r="AT816" s="38"/>
      <c r="AU816" s="38"/>
      <c r="AV816" s="38"/>
      <c r="AW816" s="38"/>
      <c r="AX816" s="38"/>
      <c r="AY816" s="38"/>
      <c r="AZ816" s="38"/>
      <c r="BA816" s="38"/>
      <c r="BB816" s="38"/>
      <c r="BC816" s="38"/>
      <c r="BD816" s="38"/>
      <c r="BE816" s="38"/>
      <c r="BF816" s="38"/>
      <c r="BG816" s="38"/>
      <c r="BH816" s="38"/>
      <c r="BI816" s="38"/>
      <c r="BJ816" s="38"/>
      <c r="BK816" s="38"/>
      <c r="BL816" s="38"/>
      <c r="BM816" s="38"/>
      <c r="BN816" s="38"/>
      <c r="BO816" s="38"/>
      <c r="BP816" s="38"/>
      <c r="BQ816" s="38"/>
      <c r="BR816" s="38"/>
    </row>
    <row r="817" spans="1:70">
      <c r="A817" s="38"/>
      <c r="B817" s="38"/>
      <c r="C817" s="43"/>
      <c r="D817" s="38"/>
      <c r="E817" s="38"/>
      <c r="F817" s="43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8"/>
      <c r="AJ817" s="38"/>
      <c r="AK817" s="38"/>
      <c r="AL817" s="38"/>
      <c r="AM817" s="38"/>
      <c r="AN817" s="38"/>
      <c r="AO817" s="38"/>
      <c r="AP817" s="38"/>
      <c r="AQ817" s="38"/>
      <c r="AR817" s="38"/>
      <c r="AS817" s="38"/>
      <c r="AT817" s="38"/>
      <c r="AU817" s="38"/>
      <c r="AV817" s="38"/>
      <c r="AW817" s="38"/>
      <c r="AX817" s="38"/>
      <c r="AY817" s="38"/>
      <c r="AZ817" s="38"/>
      <c r="BA817" s="38"/>
      <c r="BB817" s="38"/>
      <c r="BC817" s="38"/>
      <c r="BD817" s="38"/>
      <c r="BE817" s="38"/>
      <c r="BF817" s="38"/>
      <c r="BG817" s="38"/>
      <c r="BH817" s="38"/>
      <c r="BI817" s="38"/>
      <c r="BJ817" s="38"/>
      <c r="BK817" s="38"/>
      <c r="BL817" s="38"/>
      <c r="BM817" s="38"/>
      <c r="BN817" s="38"/>
      <c r="BO817" s="38"/>
      <c r="BP817" s="38"/>
      <c r="BQ817" s="38"/>
      <c r="BR817" s="38"/>
    </row>
    <row r="818" spans="1:70">
      <c r="A818" s="38"/>
      <c r="B818" s="38"/>
      <c r="C818" s="43"/>
      <c r="D818" s="38"/>
      <c r="E818" s="38"/>
      <c r="F818" s="43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8"/>
      <c r="AJ818" s="38"/>
      <c r="AK818" s="38"/>
      <c r="AL818" s="38"/>
      <c r="AM818" s="38"/>
      <c r="AN818" s="38"/>
      <c r="AO818" s="38"/>
      <c r="AP818" s="38"/>
      <c r="AQ818" s="38"/>
      <c r="AR818" s="38"/>
      <c r="AS818" s="38"/>
      <c r="AT818" s="38"/>
      <c r="AU818" s="38"/>
      <c r="AV818" s="38"/>
      <c r="AW818" s="38"/>
      <c r="AX818" s="38"/>
      <c r="AY818" s="38"/>
      <c r="AZ818" s="38"/>
      <c r="BA818" s="38"/>
      <c r="BB818" s="38"/>
      <c r="BC818" s="38"/>
      <c r="BD818" s="38"/>
      <c r="BE818" s="38"/>
      <c r="BF818" s="38"/>
      <c r="BG818" s="38"/>
      <c r="BH818" s="38"/>
      <c r="BI818" s="38"/>
      <c r="BJ818" s="38"/>
      <c r="BK818" s="38"/>
      <c r="BL818" s="38"/>
      <c r="BM818" s="38"/>
      <c r="BN818" s="38"/>
      <c r="BO818" s="38"/>
      <c r="BP818" s="38"/>
      <c r="BQ818" s="38"/>
      <c r="BR818" s="38"/>
    </row>
    <row r="819" spans="1:70">
      <c r="A819" s="38"/>
      <c r="B819" s="38"/>
      <c r="C819" s="43"/>
      <c r="D819" s="38"/>
      <c r="E819" s="38"/>
      <c r="F819" s="43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8"/>
      <c r="AJ819" s="38"/>
      <c r="AK819" s="38"/>
      <c r="AL819" s="38"/>
      <c r="AM819" s="38"/>
      <c r="AN819" s="38"/>
      <c r="AO819" s="38"/>
      <c r="AP819" s="38"/>
      <c r="AQ819" s="38"/>
      <c r="AR819" s="38"/>
      <c r="AS819" s="38"/>
      <c r="AT819" s="38"/>
      <c r="AU819" s="38"/>
      <c r="AV819" s="38"/>
      <c r="AW819" s="38"/>
      <c r="AX819" s="38"/>
      <c r="AY819" s="38"/>
      <c r="AZ819" s="38"/>
      <c r="BA819" s="38"/>
      <c r="BB819" s="38"/>
      <c r="BC819" s="38"/>
      <c r="BD819" s="38"/>
      <c r="BE819" s="38"/>
      <c r="BF819" s="38"/>
      <c r="BG819" s="38"/>
      <c r="BH819" s="38"/>
      <c r="BI819" s="38"/>
      <c r="BJ819" s="38"/>
      <c r="BK819" s="38"/>
      <c r="BL819" s="38"/>
      <c r="BM819" s="38"/>
      <c r="BN819" s="38"/>
      <c r="BO819" s="38"/>
      <c r="BP819" s="38"/>
      <c r="BQ819" s="38"/>
      <c r="BR819" s="38"/>
    </row>
    <row r="820" spans="1:70">
      <c r="A820" s="38"/>
      <c r="B820" s="38"/>
      <c r="C820" s="43"/>
      <c r="D820" s="38"/>
      <c r="E820" s="38"/>
      <c r="F820" s="43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8"/>
      <c r="AJ820" s="38"/>
      <c r="AK820" s="38"/>
      <c r="AL820" s="38"/>
      <c r="AM820" s="38"/>
      <c r="AN820" s="38"/>
      <c r="AO820" s="38"/>
      <c r="AP820" s="38"/>
      <c r="AQ820" s="38"/>
      <c r="AR820" s="38"/>
      <c r="AS820" s="38"/>
      <c r="AT820" s="38"/>
      <c r="AU820" s="38"/>
      <c r="AV820" s="38"/>
      <c r="AW820" s="38"/>
      <c r="AX820" s="38"/>
      <c r="AY820" s="38"/>
      <c r="AZ820" s="38"/>
      <c r="BA820" s="38"/>
      <c r="BB820" s="38"/>
      <c r="BC820" s="38"/>
      <c r="BD820" s="38"/>
      <c r="BE820" s="38"/>
      <c r="BF820" s="38"/>
      <c r="BG820" s="38"/>
      <c r="BH820" s="38"/>
      <c r="BI820" s="38"/>
      <c r="BJ820" s="38"/>
      <c r="BK820" s="38"/>
      <c r="BL820" s="38"/>
      <c r="BM820" s="38"/>
      <c r="BN820" s="38"/>
      <c r="BO820" s="38"/>
      <c r="BP820" s="38"/>
      <c r="BQ820" s="38"/>
      <c r="BR820" s="38"/>
    </row>
    <row r="821" spans="1:70">
      <c r="A821" s="38"/>
      <c r="B821" s="38"/>
      <c r="C821" s="43"/>
      <c r="D821" s="38"/>
      <c r="E821" s="38"/>
      <c r="F821" s="43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8"/>
      <c r="AJ821" s="38"/>
      <c r="AK821" s="38"/>
      <c r="AL821" s="38"/>
      <c r="AM821" s="38"/>
      <c r="AN821" s="38"/>
      <c r="AO821" s="38"/>
      <c r="AP821" s="38"/>
      <c r="AQ821" s="38"/>
      <c r="AR821" s="38"/>
      <c r="AS821" s="38"/>
      <c r="AT821" s="38"/>
      <c r="AU821" s="38"/>
      <c r="AV821" s="38"/>
      <c r="AW821" s="38"/>
      <c r="AX821" s="38"/>
      <c r="AY821" s="38"/>
      <c r="AZ821" s="38"/>
      <c r="BA821" s="38"/>
      <c r="BB821" s="38"/>
      <c r="BC821" s="38"/>
      <c r="BD821" s="38"/>
      <c r="BE821" s="38"/>
      <c r="BF821" s="38"/>
      <c r="BG821" s="38"/>
      <c r="BH821" s="38"/>
      <c r="BI821" s="38"/>
      <c r="BJ821" s="38"/>
      <c r="BK821" s="38"/>
      <c r="BL821" s="38"/>
      <c r="BM821" s="38"/>
      <c r="BN821" s="38"/>
      <c r="BO821" s="38"/>
      <c r="BP821" s="38"/>
      <c r="BQ821" s="38"/>
      <c r="BR821" s="38"/>
    </row>
    <row r="822" spans="1:70">
      <c r="A822" s="38"/>
      <c r="B822" s="38"/>
      <c r="C822" s="43"/>
      <c r="D822" s="38"/>
      <c r="E822" s="38"/>
      <c r="F822" s="43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8"/>
      <c r="AJ822" s="38"/>
      <c r="AK822" s="38"/>
      <c r="AL822" s="38"/>
      <c r="AM822" s="38"/>
      <c r="AN822" s="38"/>
      <c r="AO822" s="38"/>
      <c r="AP822" s="38"/>
      <c r="AQ822" s="38"/>
      <c r="AR822" s="38"/>
      <c r="AS822" s="38"/>
      <c r="AT822" s="38"/>
      <c r="AU822" s="38"/>
      <c r="AV822" s="38"/>
      <c r="AW822" s="38"/>
      <c r="AX822" s="38"/>
      <c r="AY822" s="38"/>
      <c r="AZ822" s="38"/>
      <c r="BA822" s="38"/>
      <c r="BB822" s="38"/>
      <c r="BC822" s="38"/>
      <c r="BD822" s="38"/>
      <c r="BE822" s="38"/>
      <c r="BF822" s="38"/>
      <c r="BG822" s="38"/>
      <c r="BH822" s="38"/>
      <c r="BI822" s="38"/>
      <c r="BJ822" s="38"/>
      <c r="BK822" s="38"/>
      <c r="BL822" s="38"/>
      <c r="BM822" s="38"/>
      <c r="BN822" s="38"/>
      <c r="BO822" s="38"/>
      <c r="BP822" s="38"/>
      <c r="BQ822" s="38"/>
      <c r="BR822" s="38"/>
    </row>
    <row r="823" spans="1:70">
      <c r="A823" s="38"/>
      <c r="B823" s="38"/>
      <c r="C823" s="43"/>
      <c r="D823" s="38"/>
      <c r="E823" s="38"/>
      <c r="F823" s="43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8"/>
      <c r="AJ823" s="38"/>
      <c r="AK823" s="38"/>
      <c r="AL823" s="38"/>
      <c r="AM823" s="38"/>
      <c r="AN823" s="38"/>
      <c r="AO823" s="38"/>
      <c r="AP823" s="38"/>
      <c r="AQ823" s="38"/>
      <c r="AR823" s="38"/>
      <c r="AS823" s="38"/>
      <c r="AT823" s="38"/>
      <c r="AU823" s="38"/>
      <c r="AV823" s="38"/>
      <c r="AW823" s="38"/>
      <c r="AX823" s="38"/>
      <c r="AY823" s="38"/>
      <c r="AZ823" s="38"/>
      <c r="BA823" s="38"/>
      <c r="BB823" s="38"/>
      <c r="BC823" s="38"/>
      <c r="BD823" s="38"/>
      <c r="BE823" s="38"/>
      <c r="BF823" s="38"/>
      <c r="BG823" s="38"/>
      <c r="BH823" s="38"/>
      <c r="BI823" s="38"/>
      <c r="BJ823" s="38"/>
      <c r="BK823" s="38"/>
      <c r="BL823" s="38"/>
      <c r="BM823" s="38"/>
      <c r="BN823" s="38"/>
      <c r="BO823" s="38"/>
      <c r="BP823" s="38"/>
      <c r="BQ823" s="38"/>
      <c r="BR823" s="38"/>
    </row>
    <row r="824" spans="1:70">
      <c r="A824" s="38"/>
      <c r="B824" s="38"/>
      <c r="C824" s="43"/>
      <c r="D824" s="38"/>
      <c r="E824" s="38"/>
      <c r="F824" s="43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8"/>
      <c r="AJ824" s="38"/>
      <c r="AK824" s="38"/>
      <c r="AL824" s="38"/>
      <c r="AM824" s="38"/>
      <c r="AN824" s="38"/>
      <c r="AO824" s="38"/>
      <c r="AP824" s="38"/>
      <c r="AQ824" s="38"/>
      <c r="AR824" s="38"/>
      <c r="AS824" s="38"/>
      <c r="AT824" s="38"/>
      <c r="AU824" s="38"/>
      <c r="AV824" s="38"/>
      <c r="AW824" s="38"/>
      <c r="AX824" s="38"/>
      <c r="AY824" s="38"/>
      <c r="AZ824" s="38"/>
      <c r="BA824" s="38"/>
      <c r="BB824" s="38"/>
      <c r="BC824" s="38"/>
      <c r="BD824" s="38"/>
      <c r="BE824" s="38"/>
      <c r="BF824" s="38"/>
      <c r="BG824" s="38"/>
      <c r="BH824" s="38"/>
      <c r="BI824" s="38"/>
      <c r="BJ824" s="38"/>
      <c r="BK824" s="38"/>
      <c r="BL824" s="38"/>
      <c r="BM824" s="38"/>
      <c r="BN824" s="38"/>
      <c r="BO824" s="38"/>
      <c r="BP824" s="38"/>
      <c r="BQ824" s="38"/>
      <c r="BR824" s="38"/>
    </row>
    <row r="825" spans="1:70">
      <c r="A825" s="38"/>
      <c r="B825" s="38"/>
      <c r="C825" s="43"/>
      <c r="D825" s="38"/>
      <c r="E825" s="38"/>
      <c r="F825" s="43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8"/>
      <c r="AJ825" s="38"/>
      <c r="AK825" s="38"/>
      <c r="AL825" s="38"/>
      <c r="AM825" s="38"/>
      <c r="AN825" s="38"/>
      <c r="AO825" s="38"/>
      <c r="AP825" s="38"/>
      <c r="AQ825" s="38"/>
      <c r="AR825" s="38"/>
      <c r="AS825" s="38"/>
      <c r="AT825" s="38"/>
      <c r="AU825" s="38"/>
      <c r="AV825" s="38"/>
      <c r="AW825" s="38"/>
      <c r="AX825" s="38"/>
      <c r="AY825" s="38"/>
      <c r="AZ825" s="38"/>
      <c r="BA825" s="38"/>
      <c r="BB825" s="38"/>
      <c r="BC825" s="38"/>
      <c r="BD825" s="38"/>
      <c r="BE825" s="38"/>
      <c r="BF825" s="38"/>
      <c r="BG825" s="38"/>
      <c r="BH825" s="38"/>
      <c r="BI825" s="38"/>
      <c r="BJ825" s="38"/>
      <c r="BK825" s="38"/>
      <c r="BL825" s="38"/>
      <c r="BM825" s="38"/>
      <c r="BN825" s="38"/>
      <c r="BO825" s="38"/>
      <c r="BP825" s="38"/>
      <c r="BQ825" s="38"/>
      <c r="BR825" s="38"/>
    </row>
    <row r="826" spans="1:70">
      <c r="A826" s="38"/>
      <c r="B826" s="38"/>
      <c r="C826" s="43"/>
      <c r="D826" s="38"/>
      <c r="E826" s="38"/>
      <c r="F826" s="43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8"/>
      <c r="AJ826" s="38"/>
      <c r="AK826" s="38"/>
      <c r="AL826" s="38"/>
      <c r="AM826" s="38"/>
      <c r="AN826" s="38"/>
      <c r="AO826" s="38"/>
      <c r="AP826" s="38"/>
      <c r="AQ826" s="38"/>
      <c r="AR826" s="38"/>
      <c r="AS826" s="38"/>
      <c r="AT826" s="38"/>
      <c r="AU826" s="38"/>
      <c r="AV826" s="38"/>
      <c r="AW826" s="38"/>
      <c r="AX826" s="38"/>
      <c r="AY826" s="38"/>
      <c r="AZ826" s="38"/>
      <c r="BA826" s="38"/>
      <c r="BB826" s="38"/>
      <c r="BC826" s="38"/>
      <c r="BD826" s="38"/>
      <c r="BE826" s="38"/>
      <c r="BF826" s="38"/>
      <c r="BG826" s="38"/>
      <c r="BH826" s="38"/>
      <c r="BI826" s="38"/>
      <c r="BJ826" s="38"/>
      <c r="BK826" s="38"/>
      <c r="BL826" s="38"/>
      <c r="BM826" s="38"/>
      <c r="BN826" s="38"/>
      <c r="BO826" s="38"/>
      <c r="BP826" s="38"/>
      <c r="BQ826" s="38"/>
      <c r="BR826" s="38"/>
    </row>
    <row r="827" spans="1:70">
      <c r="A827" s="38"/>
      <c r="B827" s="38"/>
      <c r="C827" s="43"/>
      <c r="D827" s="38"/>
      <c r="E827" s="38"/>
      <c r="F827" s="43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8"/>
      <c r="AJ827" s="38"/>
      <c r="AK827" s="38"/>
      <c r="AL827" s="38"/>
      <c r="AM827" s="38"/>
      <c r="AN827" s="38"/>
      <c r="AO827" s="38"/>
      <c r="AP827" s="38"/>
      <c r="AQ827" s="38"/>
      <c r="AR827" s="38"/>
      <c r="AS827" s="38"/>
      <c r="AT827" s="38"/>
      <c r="AU827" s="38"/>
      <c r="AV827" s="38"/>
      <c r="AW827" s="38"/>
      <c r="AX827" s="38"/>
      <c r="AY827" s="38"/>
      <c r="AZ827" s="38"/>
      <c r="BA827" s="38"/>
      <c r="BB827" s="38"/>
      <c r="BC827" s="38"/>
      <c r="BD827" s="38"/>
      <c r="BE827" s="38"/>
      <c r="BF827" s="38"/>
      <c r="BG827" s="38"/>
      <c r="BH827" s="38"/>
      <c r="BI827" s="38"/>
      <c r="BJ827" s="38"/>
      <c r="BK827" s="38"/>
      <c r="BL827" s="38"/>
      <c r="BM827" s="38"/>
      <c r="BN827" s="38"/>
      <c r="BO827" s="38"/>
      <c r="BP827" s="38"/>
      <c r="BQ827" s="38"/>
      <c r="BR827" s="38"/>
    </row>
    <row r="828" spans="1:70">
      <c r="A828" s="38"/>
      <c r="B828" s="38"/>
      <c r="C828" s="43"/>
      <c r="D828" s="38"/>
      <c r="E828" s="38"/>
      <c r="F828" s="43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8"/>
      <c r="AJ828" s="38"/>
      <c r="AK828" s="38"/>
      <c r="AL828" s="38"/>
      <c r="AM828" s="38"/>
      <c r="AN828" s="38"/>
      <c r="AO828" s="38"/>
      <c r="AP828" s="38"/>
      <c r="AQ828" s="38"/>
      <c r="AR828" s="38"/>
      <c r="AS828" s="38"/>
      <c r="AT828" s="38"/>
      <c r="AU828" s="38"/>
      <c r="AV828" s="38"/>
      <c r="AW828" s="38"/>
      <c r="AX828" s="38"/>
      <c r="AY828" s="38"/>
      <c r="AZ828" s="38"/>
      <c r="BA828" s="38"/>
      <c r="BB828" s="38"/>
      <c r="BC828" s="38"/>
      <c r="BD828" s="38"/>
      <c r="BE828" s="38"/>
      <c r="BF828" s="38"/>
      <c r="BG828" s="38"/>
      <c r="BH828" s="38"/>
      <c r="BI828" s="38"/>
      <c r="BJ828" s="38"/>
      <c r="BK828" s="38"/>
      <c r="BL828" s="38"/>
      <c r="BM828" s="38"/>
      <c r="BN828" s="38"/>
      <c r="BO828" s="38"/>
      <c r="BP828" s="38"/>
      <c r="BQ828" s="38"/>
      <c r="BR828" s="38"/>
    </row>
    <row r="829" spans="1:70">
      <c r="A829" s="38"/>
      <c r="B829" s="38"/>
      <c r="C829" s="43"/>
      <c r="D829" s="38"/>
      <c r="E829" s="38"/>
      <c r="F829" s="43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8"/>
      <c r="AJ829" s="38"/>
      <c r="AK829" s="38"/>
      <c r="AL829" s="38"/>
      <c r="AM829" s="38"/>
      <c r="AN829" s="38"/>
      <c r="AO829" s="38"/>
      <c r="AP829" s="38"/>
      <c r="AQ829" s="38"/>
      <c r="AR829" s="38"/>
      <c r="AS829" s="38"/>
      <c r="AT829" s="38"/>
      <c r="AU829" s="38"/>
      <c r="AV829" s="38"/>
      <c r="AW829" s="38"/>
      <c r="AX829" s="38"/>
      <c r="AY829" s="38"/>
      <c r="AZ829" s="38"/>
      <c r="BA829" s="38"/>
      <c r="BB829" s="38"/>
      <c r="BC829" s="38"/>
      <c r="BD829" s="38"/>
      <c r="BE829" s="38"/>
      <c r="BF829" s="38"/>
      <c r="BG829" s="38"/>
      <c r="BH829" s="38"/>
      <c r="BI829" s="38"/>
      <c r="BJ829" s="38"/>
      <c r="BK829" s="38"/>
      <c r="BL829" s="38"/>
      <c r="BM829" s="38"/>
      <c r="BN829" s="38"/>
      <c r="BO829" s="38"/>
      <c r="BP829" s="38"/>
      <c r="BQ829" s="38"/>
      <c r="BR829" s="38"/>
    </row>
    <row r="830" spans="1:70">
      <c r="A830" s="38"/>
      <c r="B830" s="38"/>
      <c r="C830" s="43"/>
      <c r="D830" s="38"/>
      <c r="E830" s="38"/>
      <c r="F830" s="43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8"/>
      <c r="AJ830" s="38"/>
      <c r="AK830" s="38"/>
      <c r="AL830" s="38"/>
      <c r="AM830" s="38"/>
      <c r="AN830" s="38"/>
      <c r="AO830" s="38"/>
      <c r="AP830" s="38"/>
      <c r="AQ830" s="38"/>
      <c r="AR830" s="38"/>
      <c r="AS830" s="38"/>
      <c r="AT830" s="38"/>
      <c r="AU830" s="38"/>
      <c r="AV830" s="38"/>
      <c r="AW830" s="38"/>
      <c r="AX830" s="38"/>
      <c r="AY830" s="38"/>
      <c r="AZ830" s="38"/>
      <c r="BA830" s="38"/>
      <c r="BB830" s="38"/>
      <c r="BC830" s="38"/>
      <c r="BD830" s="38"/>
      <c r="BE830" s="38"/>
      <c r="BF830" s="38"/>
      <c r="BG830" s="38"/>
      <c r="BH830" s="38"/>
      <c r="BI830" s="38"/>
      <c r="BJ830" s="38"/>
      <c r="BK830" s="38"/>
      <c r="BL830" s="38"/>
      <c r="BM830" s="38"/>
      <c r="BN830" s="38"/>
      <c r="BO830" s="38"/>
      <c r="BP830" s="38"/>
      <c r="BQ830" s="38"/>
      <c r="BR830" s="38"/>
    </row>
    <row r="831" spans="1:70">
      <c r="A831" s="38"/>
      <c r="B831" s="38"/>
      <c r="C831" s="43"/>
      <c r="D831" s="38"/>
      <c r="E831" s="38"/>
      <c r="F831" s="43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8"/>
      <c r="AJ831" s="38"/>
      <c r="AK831" s="38"/>
      <c r="AL831" s="38"/>
      <c r="AM831" s="38"/>
      <c r="AN831" s="38"/>
      <c r="AO831" s="38"/>
      <c r="AP831" s="38"/>
      <c r="AQ831" s="38"/>
      <c r="AR831" s="38"/>
      <c r="AS831" s="38"/>
      <c r="AT831" s="38"/>
      <c r="AU831" s="38"/>
      <c r="AV831" s="38"/>
      <c r="AW831" s="38"/>
      <c r="AX831" s="38"/>
      <c r="AY831" s="38"/>
      <c r="AZ831" s="38"/>
      <c r="BA831" s="38"/>
      <c r="BB831" s="38"/>
      <c r="BC831" s="38"/>
      <c r="BD831" s="38"/>
      <c r="BE831" s="38"/>
      <c r="BF831" s="38"/>
      <c r="BG831" s="38"/>
      <c r="BH831" s="38"/>
      <c r="BI831" s="38"/>
      <c r="BJ831" s="38"/>
      <c r="BK831" s="38"/>
      <c r="BL831" s="38"/>
      <c r="BM831" s="38"/>
      <c r="BN831" s="38"/>
      <c r="BO831" s="38"/>
      <c r="BP831" s="38"/>
      <c r="BQ831" s="38"/>
      <c r="BR831" s="38"/>
    </row>
    <row r="832" spans="1:70">
      <c r="A832" s="38"/>
      <c r="B832" s="38"/>
      <c r="C832" s="43"/>
      <c r="D832" s="38"/>
      <c r="E832" s="38"/>
      <c r="F832" s="43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8"/>
      <c r="AJ832" s="38"/>
      <c r="AK832" s="38"/>
      <c r="AL832" s="38"/>
      <c r="AM832" s="38"/>
      <c r="AN832" s="38"/>
      <c r="AO832" s="38"/>
      <c r="AP832" s="38"/>
      <c r="AQ832" s="38"/>
      <c r="AR832" s="38"/>
      <c r="AS832" s="38"/>
      <c r="AT832" s="38"/>
      <c r="AU832" s="38"/>
      <c r="AV832" s="38"/>
      <c r="AW832" s="38"/>
      <c r="AX832" s="38"/>
      <c r="AY832" s="38"/>
      <c r="AZ832" s="38"/>
      <c r="BA832" s="38"/>
      <c r="BB832" s="38"/>
      <c r="BC832" s="38"/>
      <c r="BD832" s="38"/>
      <c r="BE832" s="38"/>
      <c r="BF832" s="38"/>
      <c r="BG832" s="38"/>
      <c r="BH832" s="38"/>
      <c r="BI832" s="38"/>
      <c r="BJ832" s="38"/>
      <c r="BK832" s="38"/>
      <c r="BL832" s="38"/>
      <c r="BM832" s="38"/>
      <c r="BN832" s="38"/>
      <c r="BO832" s="38"/>
      <c r="BP832" s="38"/>
      <c r="BQ832" s="38"/>
      <c r="BR832" s="38"/>
    </row>
    <row r="833" spans="1:70">
      <c r="A833" s="38"/>
      <c r="B833" s="38"/>
      <c r="C833" s="43"/>
      <c r="D833" s="38"/>
      <c r="E833" s="38"/>
      <c r="F833" s="43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  <c r="AI833" s="38"/>
      <c r="AJ833" s="38"/>
      <c r="AK833" s="38"/>
      <c r="AL833" s="38"/>
      <c r="AM833" s="38"/>
      <c r="AN833" s="38"/>
      <c r="AO833" s="38"/>
      <c r="AP833" s="38"/>
      <c r="AQ833" s="38"/>
      <c r="AR833" s="38"/>
      <c r="AS833" s="38"/>
      <c r="AT833" s="38"/>
      <c r="AU833" s="38"/>
      <c r="AV833" s="38"/>
      <c r="AW833" s="38"/>
      <c r="AX833" s="38"/>
      <c r="AY833" s="38"/>
      <c r="AZ833" s="38"/>
      <c r="BA833" s="38"/>
      <c r="BB833" s="38"/>
      <c r="BC833" s="38"/>
      <c r="BD833" s="38"/>
      <c r="BE833" s="38"/>
      <c r="BF833" s="38"/>
      <c r="BG833" s="38"/>
      <c r="BH833" s="38"/>
      <c r="BI833" s="38"/>
      <c r="BJ833" s="38"/>
      <c r="BK833" s="38"/>
      <c r="BL833" s="38"/>
      <c r="BM833" s="38"/>
      <c r="BN833" s="38"/>
      <c r="BO833" s="38"/>
      <c r="BP833" s="38"/>
      <c r="BQ833" s="38"/>
      <c r="BR833" s="38"/>
    </row>
    <row r="834" spans="1:70">
      <c r="A834" s="38"/>
      <c r="B834" s="38"/>
      <c r="C834" s="43"/>
      <c r="D834" s="38"/>
      <c r="E834" s="38"/>
      <c r="F834" s="43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  <c r="AI834" s="38"/>
      <c r="AJ834" s="38"/>
      <c r="AK834" s="38"/>
      <c r="AL834" s="38"/>
      <c r="AM834" s="38"/>
      <c r="AN834" s="38"/>
      <c r="AO834" s="38"/>
      <c r="AP834" s="38"/>
      <c r="AQ834" s="38"/>
      <c r="AR834" s="38"/>
      <c r="AS834" s="38"/>
      <c r="AT834" s="38"/>
      <c r="AU834" s="38"/>
      <c r="AV834" s="38"/>
      <c r="AW834" s="38"/>
      <c r="AX834" s="38"/>
      <c r="AY834" s="38"/>
      <c r="AZ834" s="38"/>
      <c r="BA834" s="38"/>
      <c r="BB834" s="38"/>
      <c r="BC834" s="38"/>
      <c r="BD834" s="38"/>
      <c r="BE834" s="38"/>
      <c r="BF834" s="38"/>
      <c r="BG834" s="38"/>
      <c r="BH834" s="38"/>
      <c r="BI834" s="38"/>
      <c r="BJ834" s="38"/>
      <c r="BK834" s="38"/>
      <c r="BL834" s="38"/>
      <c r="BM834" s="38"/>
      <c r="BN834" s="38"/>
      <c r="BO834" s="38"/>
      <c r="BP834" s="38"/>
      <c r="BQ834" s="38"/>
      <c r="BR834" s="38"/>
    </row>
    <row r="835" spans="1:70">
      <c r="A835" s="38"/>
      <c r="B835" s="38"/>
      <c r="C835" s="43"/>
      <c r="D835" s="38"/>
      <c r="E835" s="38"/>
      <c r="F835" s="43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  <c r="AI835" s="38"/>
      <c r="AJ835" s="38"/>
      <c r="AK835" s="38"/>
      <c r="AL835" s="38"/>
      <c r="AM835" s="38"/>
      <c r="AN835" s="38"/>
      <c r="AO835" s="38"/>
      <c r="AP835" s="38"/>
      <c r="AQ835" s="38"/>
      <c r="AR835" s="38"/>
      <c r="AS835" s="38"/>
      <c r="AT835" s="38"/>
      <c r="AU835" s="38"/>
      <c r="AV835" s="38"/>
      <c r="AW835" s="38"/>
      <c r="AX835" s="38"/>
      <c r="AY835" s="38"/>
      <c r="AZ835" s="38"/>
      <c r="BA835" s="38"/>
      <c r="BB835" s="38"/>
      <c r="BC835" s="38"/>
      <c r="BD835" s="38"/>
      <c r="BE835" s="38"/>
      <c r="BF835" s="38"/>
      <c r="BG835" s="38"/>
      <c r="BH835" s="38"/>
      <c r="BI835" s="38"/>
      <c r="BJ835" s="38"/>
      <c r="BK835" s="38"/>
      <c r="BL835" s="38"/>
      <c r="BM835" s="38"/>
      <c r="BN835" s="38"/>
      <c r="BO835" s="38"/>
      <c r="BP835" s="38"/>
      <c r="BQ835" s="38"/>
      <c r="BR835" s="38"/>
    </row>
    <row r="836" spans="1:70">
      <c r="A836" s="38"/>
      <c r="B836" s="38"/>
      <c r="C836" s="43"/>
      <c r="D836" s="38"/>
      <c r="E836" s="38"/>
      <c r="F836" s="43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  <c r="AI836" s="38"/>
      <c r="AJ836" s="38"/>
      <c r="AK836" s="38"/>
      <c r="AL836" s="38"/>
      <c r="AM836" s="38"/>
      <c r="AN836" s="38"/>
      <c r="AO836" s="38"/>
      <c r="AP836" s="38"/>
      <c r="AQ836" s="38"/>
      <c r="AR836" s="38"/>
      <c r="AS836" s="38"/>
      <c r="AT836" s="38"/>
      <c r="AU836" s="38"/>
      <c r="AV836" s="38"/>
      <c r="AW836" s="38"/>
      <c r="AX836" s="38"/>
      <c r="AY836" s="38"/>
      <c r="AZ836" s="38"/>
      <c r="BA836" s="38"/>
      <c r="BB836" s="38"/>
      <c r="BC836" s="38"/>
      <c r="BD836" s="38"/>
      <c r="BE836" s="38"/>
      <c r="BF836" s="38"/>
      <c r="BG836" s="38"/>
      <c r="BH836" s="38"/>
      <c r="BI836" s="38"/>
      <c r="BJ836" s="38"/>
      <c r="BK836" s="38"/>
      <c r="BL836" s="38"/>
      <c r="BM836" s="38"/>
      <c r="BN836" s="38"/>
      <c r="BO836" s="38"/>
      <c r="BP836" s="38"/>
      <c r="BQ836" s="38"/>
      <c r="BR836" s="38"/>
    </row>
    <row r="837" spans="1:70">
      <c r="A837" s="38"/>
      <c r="B837" s="38"/>
      <c r="C837" s="43"/>
      <c r="D837" s="38"/>
      <c r="E837" s="38"/>
      <c r="F837" s="43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  <c r="AI837" s="38"/>
      <c r="AJ837" s="38"/>
      <c r="AK837" s="38"/>
      <c r="AL837" s="38"/>
      <c r="AM837" s="38"/>
      <c r="AN837" s="38"/>
      <c r="AO837" s="38"/>
      <c r="AP837" s="38"/>
      <c r="AQ837" s="38"/>
      <c r="AR837" s="38"/>
      <c r="AS837" s="38"/>
      <c r="AT837" s="38"/>
      <c r="AU837" s="38"/>
      <c r="AV837" s="38"/>
      <c r="AW837" s="38"/>
      <c r="AX837" s="38"/>
      <c r="AY837" s="38"/>
      <c r="AZ837" s="38"/>
      <c r="BA837" s="38"/>
      <c r="BB837" s="38"/>
      <c r="BC837" s="38"/>
      <c r="BD837" s="38"/>
      <c r="BE837" s="38"/>
      <c r="BF837" s="38"/>
      <c r="BG837" s="38"/>
      <c r="BH837" s="38"/>
      <c r="BI837" s="38"/>
      <c r="BJ837" s="38"/>
      <c r="BK837" s="38"/>
      <c r="BL837" s="38"/>
      <c r="BM837" s="38"/>
      <c r="BN837" s="38"/>
      <c r="BO837" s="38"/>
      <c r="BP837" s="38"/>
      <c r="BQ837" s="38"/>
      <c r="BR837" s="38"/>
    </row>
    <row r="838" spans="1:70">
      <c r="A838" s="38"/>
      <c r="B838" s="38"/>
      <c r="C838" s="43"/>
      <c r="D838" s="38"/>
      <c r="E838" s="38"/>
      <c r="F838" s="43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8"/>
      <c r="Z838" s="38"/>
      <c r="AA838" s="38"/>
      <c r="AB838" s="38"/>
      <c r="AC838" s="38"/>
      <c r="AD838" s="38"/>
      <c r="AE838" s="38"/>
      <c r="AF838" s="38"/>
      <c r="AG838" s="38"/>
      <c r="AH838" s="38"/>
      <c r="AI838" s="38"/>
      <c r="AJ838" s="38"/>
      <c r="AK838" s="38"/>
      <c r="AL838" s="38"/>
      <c r="AM838" s="38"/>
      <c r="AN838" s="38"/>
      <c r="AO838" s="38"/>
      <c r="AP838" s="38"/>
      <c r="AQ838" s="38"/>
      <c r="AR838" s="38"/>
      <c r="AS838" s="38"/>
      <c r="AT838" s="38"/>
      <c r="AU838" s="38"/>
      <c r="AV838" s="38"/>
      <c r="AW838" s="38"/>
      <c r="AX838" s="38"/>
      <c r="AY838" s="38"/>
      <c r="AZ838" s="38"/>
      <c r="BA838" s="38"/>
      <c r="BB838" s="38"/>
      <c r="BC838" s="38"/>
      <c r="BD838" s="38"/>
      <c r="BE838" s="38"/>
      <c r="BF838" s="38"/>
      <c r="BG838" s="38"/>
      <c r="BH838" s="38"/>
      <c r="BI838" s="38"/>
      <c r="BJ838" s="38"/>
      <c r="BK838" s="38"/>
      <c r="BL838" s="38"/>
      <c r="BM838" s="38"/>
      <c r="BN838" s="38"/>
      <c r="BO838" s="38"/>
      <c r="BP838" s="38"/>
      <c r="BQ838" s="38"/>
      <c r="BR838" s="38"/>
    </row>
    <row r="839" spans="1:70">
      <c r="A839" s="38"/>
      <c r="B839" s="38"/>
      <c r="C839" s="43"/>
      <c r="D839" s="38"/>
      <c r="E839" s="38"/>
      <c r="F839" s="43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  <c r="X839" s="38"/>
      <c r="Y839" s="38"/>
      <c r="Z839" s="38"/>
      <c r="AA839" s="38"/>
      <c r="AB839" s="38"/>
      <c r="AC839" s="38"/>
      <c r="AD839" s="38"/>
      <c r="AE839" s="38"/>
      <c r="AF839" s="38"/>
      <c r="AG839" s="38"/>
      <c r="AH839" s="38"/>
      <c r="AI839" s="38"/>
      <c r="AJ839" s="38"/>
      <c r="AK839" s="38"/>
      <c r="AL839" s="38"/>
      <c r="AM839" s="38"/>
      <c r="AN839" s="38"/>
      <c r="AO839" s="38"/>
      <c r="AP839" s="38"/>
      <c r="AQ839" s="38"/>
      <c r="AR839" s="38"/>
      <c r="AS839" s="38"/>
      <c r="AT839" s="38"/>
      <c r="AU839" s="38"/>
      <c r="AV839" s="38"/>
      <c r="AW839" s="38"/>
      <c r="AX839" s="38"/>
      <c r="AY839" s="38"/>
      <c r="AZ839" s="38"/>
      <c r="BA839" s="38"/>
      <c r="BB839" s="38"/>
      <c r="BC839" s="38"/>
      <c r="BD839" s="38"/>
      <c r="BE839" s="38"/>
      <c r="BF839" s="38"/>
      <c r="BG839" s="38"/>
      <c r="BH839" s="38"/>
      <c r="BI839" s="38"/>
      <c r="BJ839" s="38"/>
      <c r="BK839" s="38"/>
      <c r="BL839" s="38"/>
      <c r="BM839" s="38"/>
      <c r="BN839" s="38"/>
      <c r="BO839" s="38"/>
      <c r="BP839" s="38"/>
      <c r="BQ839" s="38"/>
      <c r="BR839" s="38"/>
    </row>
    <row r="840" spans="1:70">
      <c r="A840" s="38"/>
      <c r="B840" s="38"/>
      <c r="C840" s="43"/>
      <c r="D840" s="38"/>
      <c r="E840" s="38"/>
      <c r="F840" s="43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  <c r="X840" s="38"/>
      <c r="Y840" s="38"/>
      <c r="Z840" s="38"/>
      <c r="AA840" s="38"/>
      <c r="AB840" s="38"/>
      <c r="AC840" s="38"/>
      <c r="AD840" s="38"/>
      <c r="AE840" s="38"/>
      <c r="AF840" s="38"/>
      <c r="AG840" s="38"/>
      <c r="AH840" s="38"/>
      <c r="AI840" s="38"/>
      <c r="AJ840" s="38"/>
      <c r="AK840" s="38"/>
      <c r="AL840" s="38"/>
      <c r="AM840" s="38"/>
      <c r="AN840" s="38"/>
      <c r="AO840" s="38"/>
      <c r="AP840" s="38"/>
      <c r="AQ840" s="38"/>
      <c r="AR840" s="38"/>
      <c r="AS840" s="38"/>
      <c r="AT840" s="38"/>
      <c r="AU840" s="38"/>
      <c r="AV840" s="38"/>
      <c r="AW840" s="38"/>
      <c r="AX840" s="38"/>
      <c r="AY840" s="38"/>
      <c r="AZ840" s="38"/>
      <c r="BA840" s="38"/>
      <c r="BB840" s="38"/>
      <c r="BC840" s="38"/>
      <c r="BD840" s="38"/>
      <c r="BE840" s="38"/>
      <c r="BF840" s="38"/>
      <c r="BG840" s="38"/>
      <c r="BH840" s="38"/>
      <c r="BI840" s="38"/>
      <c r="BJ840" s="38"/>
      <c r="BK840" s="38"/>
      <c r="BL840" s="38"/>
      <c r="BM840" s="38"/>
      <c r="BN840" s="38"/>
      <c r="BO840" s="38"/>
      <c r="BP840" s="38"/>
      <c r="BQ840" s="38"/>
      <c r="BR840" s="38"/>
    </row>
    <row r="841" spans="1:70">
      <c r="A841" s="38"/>
      <c r="B841" s="38"/>
      <c r="C841" s="43"/>
      <c r="D841" s="38"/>
      <c r="E841" s="38"/>
      <c r="F841" s="43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  <c r="X841" s="38"/>
      <c r="Y841" s="38"/>
      <c r="Z841" s="38"/>
      <c r="AA841" s="38"/>
      <c r="AB841" s="38"/>
      <c r="AC841" s="38"/>
      <c r="AD841" s="38"/>
      <c r="AE841" s="38"/>
      <c r="AF841" s="38"/>
      <c r="AG841" s="38"/>
      <c r="AH841" s="38"/>
      <c r="AI841" s="38"/>
      <c r="AJ841" s="38"/>
      <c r="AK841" s="38"/>
      <c r="AL841" s="38"/>
      <c r="AM841" s="38"/>
      <c r="AN841" s="38"/>
      <c r="AO841" s="38"/>
      <c r="AP841" s="38"/>
      <c r="AQ841" s="38"/>
      <c r="AR841" s="38"/>
      <c r="AS841" s="38"/>
      <c r="AT841" s="38"/>
      <c r="AU841" s="38"/>
      <c r="AV841" s="38"/>
      <c r="AW841" s="38"/>
      <c r="AX841" s="38"/>
      <c r="AY841" s="38"/>
      <c r="AZ841" s="38"/>
      <c r="BA841" s="38"/>
      <c r="BB841" s="38"/>
      <c r="BC841" s="38"/>
      <c r="BD841" s="38"/>
      <c r="BE841" s="38"/>
      <c r="BF841" s="38"/>
      <c r="BG841" s="38"/>
      <c r="BH841" s="38"/>
      <c r="BI841" s="38"/>
      <c r="BJ841" s="38"/>
      <c r="BK841" s="38"/>
      <c r="BL841" s="38"/>
      <c r="BM841" s="38"/>
      <c r="BN841" s="38"/>
      <c r="BO841" s="38"/>
      <c r="BP841" s="38"/>
      <c r="BQ841" s="38"/>
      <c r="BR841" s="38"/>
    </row>
    <row r="842" spans="1:70">
      <c r="A842" s="38"/>
      <c r="B842" s="38"/>
      <c r="C842" s="43"/>
      <c r="D842" s="38"/>
      <c r="E842" s="38"/>
      <c r="F842" s="43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  <c r="X842" s="38"/>
      <c r="Y842" s="38"/>
      <c r="Z842" s="38"/>
      <c r="AA842" s="38"/>
      <c r="AB842" s="38"/>
      <c r="AC842" s="38"/>
      <c r="AD842" s="38"/>
      <c r="AE842" s="38"/>
      <c r="AF842" s="38"/>
      <c r="AG842" s="38"/>
      <c r="AH842" s="38"/>
      <c r="AI842" s="38"/>
      <c r="AJ842" s="38"/>
      <c r="AK842" s="38"/>
      <c r="AL842" s="38"/>
      <c r="AM842" s="38"/>
      <c r="AN842" s="38"/>
      <c r="AO842" s="38"/>
      <c r="AP842" s="38"/>
      <c r="AQ842" s="38"/>
      <c r="AR842" s="38"/>
      <c r="AS842" s="38"/>
      <c r="AT842" s="38"/>
      <c r="AU842" s="38"/>
      <c r="AV842" s="38"/>
      <c r="AW842" s="38"/>
      <c r="AX842" s="38"/>
      <c r="AY842" s="38"/>
      <c r="AZ842" s="38"/>
      <c r="BA842" s="38"/>
      <c r="BB842" s="38"/>
      <c r="BC842" s="38"/>
      <c r="BD842" s="38"/>
      <c r="BE842" s="38"/>
      <c r="BF842" s="38"/>
      <c r="BG842" s="38"/>
      <c r="BH842" s="38"/>
      <c r="BI842" s="38"/>
      <c r="BJ842" s="38"/>
      <c r="BK842" s="38"/>
      <c r="BL842" s="38"/>
      <c r="BM842" s="38"/>
      <c r="BN842" s="38"/>
      <c r="BO842" s="38"/>
      <c r="BP842" s="38"/>
      <c r="BQ842" s="38"/>
      <c r="BR842" s="38"/>
    </row>
    <row r="843" spans="1:70">
      <c r="A843" s="38"/>
      <c r="B843" s="38"/>
      <c r="C843" s="43"/>
      <c r="D843" s="38"/>
      <c r="E843" s="38"/>
      <c r="F843" s="43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  <c r="X843" s="38"/>
      <c r="Y843" s="38"/>
      <c r="Z843" s="38"/>
      <c r="AA843" s="38"/>
      <c r="AB843" s="38"/>
      <c r="AC843" s="38"/>
      <c r="AD843" s="38"/>
      <c r="AE843" s="38"/>
      <c r="AF843" s="38"/>
      <c r="AG843" s="38"/>
      <c r="AH843" s="38"/>
      <c r="AI843" s="38"/>
      <c r="AJ843" s="38"/>
      <c r="AK843" s="38"/>
      <c r="AL843" s="38"/>
      <c r="AM843" s="38"/>
      <c r="AN843" s="38"/>
      <c r="AO843" s="38"/>
      <c r="AP843" s="38"/>
      <c r="AQ843" s="38"/>
      <c r="AR843" s="38"/>
      <c r="AS843" s="38"/>
      <c r="AT843" s="38"/>
      <c r="AU843" s="38"/>
      <c r="AV843" s="38"/>
      <c r="AW843" s="38"/>
      <c r="AX843" s="38"/>
      <c r="AY843" s="38"/>
      <c r="AZ843" s="38"/>
      <c r="BA843" s="38"/>
      <c r="BB843" s="38"/>
      <c r="BC843" s="38"/>
      <c r="BD843" s="38"/>
      <c r="BE843" s="38"/>
      <c r="BF843" s="38"/>
      <c r="BG843" s="38"/>
      <c r="BH843" s="38"/>
      <c r="BI843" s="38"/>
      <c r="BJ843" s="38"/>
      <c r="BK843" s="38"/>
      <c r="BL843" s="38"/>
      <c r="BM843" s="38"/>
      <c r="BN843" s="38"/>
      <c r="BO843" s="38"/>
      <c r="BP843" s="38"/>
      <c r="BQ843" s="38"/>
      <c r="BR843" s="38"/>
    </row>
    <row r="844" spans="1:70">
      <c r="A844" s="38"/>
      <c r="B844" s="38"/>
      <c r="C844" s="43"/>
      <c r="D844" s="38"/>
      <c r="E844" s="38"/>
      <c r="F844" s="43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  <c r="X844" s="38"/>
      <c r="Y844" s="38"/>
      <c r="Z844" s="38"/>
      <c r="AA844" s="38"/>
      <c r="AB844" s="38"/>
      <c r="AC844" s="38"/>
      <c r="AD844" s="38"/>
      <c r="AE844" s="38"/>
      <c r="AF844" s="38"/>
      <c r="AG844" s="38"/>
      <c r="AH844" s="38"/>
      <c r="AI844" s="38"/>
      <c r="AJ844" s="38"/>
      <c r="AK844" s="38"/>
      <c r="AL844" s="38"/>
      <c r="AM844" s="38"/>
      <c r="AN844" s="38"/>
      <c r="AO844" s="38"/>
      <c r="AP844" s="38"/>
      <c r="AQ844" s="38"/>
      <c r="AR844" s="38"/>
      <c r="AS844" s="38"/>
      <c r="AT844" s="38"/>
      <c r="AU844" s="38"/>
      <c r="AV844" s="38"/>
      <c r="AW844" s="38"/>
      <c r="AX844" s="38"/>
      <c r="AY844" s="38"/>
      <c r="AZ844" s="38"/>
      <c r="BA844" s="38"/>
      <c r="BB844" s="38"/>
      <c r="BC844" s="38"/>
      <c r="BD844" s="38"/>
      <c r="BE844" s="38"/>
      <c r="BF844" s="38"/>
      <c r="BG844" s="38"/>
      <c r="BH844" s="38"/>
      <c r="BI844" s="38"/>
      <c r="BJ844" s="38"/>
      <c r="BK844" s="38"/>
      <c r="BL844" s="38"/>
      <c r="BM844" s="38"/>
      <c r="BN844" s="38"/>
      <c r="BO844" s="38"/>
      <c r="BP844" s="38"/>
      <c r="BQ844" s="38"/>
      <c r="BR844" s="38"/>
    </row>
    <row r="845" spans="1:70">
      <c r="A845" s="38"/>
      <c r="B845" s="38"/>
      <c r="C845" s="43"/>
      <c r="D845" s="38"/>
      <c r="E845" s="38"/>
      <c r="F845" s="43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  <c r="X845" s="38"/>
      <c r="Y845" s="38"/>
      <c r="Z845" s="38"/>
      <c r="AA845" s="38"/>
      <c r="AB845" s="38"/>
      <c r="AC845" s="38"/>
      <c r="AD845" s="38"/>
      <c r="AE845" s="38"/>
      <c r="AF845" s="38"/>
      <c r="AG845" s="38"/>
      <c r="AH845" s="38"/>
      <c r="AI845" s="38"/>
      <c r="AJ845" s="38"/>
      <c r="AK845" s="38"/>
      <c r="AL845" s="38"/>
      <c r="AM845" s="38"/>
      <c r="AN845" s="38"/>
      <c r="AO845" s="38"/>
      <c r="AP845" s="38"/>
      <c r="AQ845" s="38"/>
      <c r="AR845" s="38"/>
      <c r="AS845" s="38"/>
      <c r="AT845" s="38"/>
      <c r="AU845" s="38"/>
      <c r="AV845" s="38"/>
      <c r="AW845" s="38"/>
      <c r="AX845" s="38"/>
      <c r="AY845" s="38"/>
      <c r="AZ845" s="38"/>
      <c r="BA845" s="38"/>
      <c r="BB845" s="38"/>
      <c r="BC845" s="38"/>
      <c r="BD845" s="38"/>
      <c r="BE845" s="38"/>
      <c r="BF845" s="38"/>
      <c r="BG845" s="38"/>
      <c r="BH845" s="38"/>
      <c r="BI845" s="38"/>
      <c r="BJ845" s="38"/>
      <c r="BK845" s="38"/>
      <c r="BL845" s="38"/>
      <c r="BM845" s="38"/>
      <c r="BN845" s="38"/>
      <c r="BO845" s="38"/>
      <c r="BP845" s="38"/>
      <c r="BQ845" s="38"/>
      <c r="BR845" s="38"/>
    </row>
    <row r="846" spans="1:70">
      <c r="A846" s="38"/>
      <c r="B846" s="38"/>
      <c r="C846" s="43"/>
      <c r="D846" s="38"/>
      <c r="E846" s="38"/>
      <c r="F846" s="43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  <c r="X846" s="38"/>
      <c r="Y846" s="38"/>
      <c r="Z846" s="38"/>
      <c r="AA846" s="38"/>
      <c r="AB846" s="38"/>
      <c r="AC846" s="38"/>
      <c r="AD846" s="38"/>
      <c r="AE846" s="38"/>
      <c r="AF846" s="38"/>
      <c r="AG846" s="38"/>
      <c r="AH846" s="38"/>
      <c r="AI846" s="38"/>
      <c r="AJ846" s="38"/>
      <c r="AK846" s="38"/>
      <c r="AL846" s="38"/>
      <c r="AM846" s="38"/>
      <c r="AN846" s="38"/>
      <c r="AO846" s="38"/>
      <c r="AP846" s="38"/>
      <c r="AQ846" s="38"/>
      <c r="AR846" s="38"/>
      <c r="AS846" s="38"/>
      <c r="AT846" s="38"/>
      <c r="AU846" s="38"/>
      <c r="AV846" s="38"/>
      <c r="AW846" s="38"/>
      <c r="AX846" s="38"/>
      <c r="AY846" s="38"/>
      <c r="AZ846" s="38"/>
      <c r="BA846" s="38"/>
      <c r="BB846" s="38"/>
      <c r="BC846" s="38"/>
      <c r="BD846" s="38"/>
      <c r="BE846" s="38"/>
      <c r="BF846" s="38"/>
      <c r="BG846" s="38"/>
      <c r="BH846" s="38"/>
      <c r="BI846" s="38"/>
      <c r="BJ846" s="38"/>
      <c r="BK846" s="38"/>
      <c r="BL846" s="38"/>
      <c r="BM846" s="38"/>
      <c r="BN846" s="38"/>
      <c r="BO846" s="38"/>
      <c r="BP846" s="38"/>
      <c r="BQ846" s="38"/>
      <c r="BR846" s="38"/>
    </row>
    <row r="847" spans="1:70">
      <c r="A847" s="38"/>
      <c r="B847" s="38"/>
      <c r="C847" s="43"/>
      <c r="D847" s="38"/>
      <c r="E847" s="38"/>
      <c r="F847" s="43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  <c r="X847" s="38"/>
      <c r="Y847" s="38"/>
      <c r="Z847" s="38"/>
      <c r="AA847" s="38"/>
      <c r="AB847" s="38"/>
      <c r="AC847" s="38"/>
      <c r="AD847" s="38"/>
      <c r="AE847" s="38"/>
      <c r="AF847" s="38"/>
      <c r="AG847" s="38"/>
      <c r="AH847" s="38"/>
      <c r="AI847" s="38"/>
      <c r="AJ847" s="38"/>
      <c r="AK847" s="38"/>
      <c r="AL847" s="38"/>
      <c r="AM847" s="38"/>
      <c r="AN847" s="38"/>
      <c r="AO847" s="38"/>
      <c r="AP847" s="38"/>
      <c r="AQ847" s="38"/>
      <c r="AR847" s="38"/>
      <c r="AS847" s="38"/>
      <c r="AT847" s="38"/>
      <c r="AU847" s="38"/>
      <c r="AV847" s="38"/>
      <c r="AW847" s="38"/>
      <c r="AX847" s="38"/>
      <c r="AY847" s="38"/>
      <c r="AZ847" s="38"/>
      <c r="BA847" s="38"/>
      <c r="BB847" s="38"/>
      <c r="BC847" s="38"/>
      <c r="BD847" s="38"/>
      <c r="BE847" s="38"/>
      <c r="BF847" s="38"/>
      <c r="BG847" s="38"/>
      <c r="BH847" s="38"/>
      <c r="BI847" s="38"/>
      <c r="BJ847" s="38"/>
      <c r="BK847" s="38"/>
      <c r="BL847" s="38"/>
      <c r="BM847" s="38"/>
      <c r="BN847" s="38"/>
      <c r="BO847" s="38"/>
      <c r="BP847" s="38"/>
      <c r="BQ847" s="38"/>
      <c r="BR847" s="38"/>
    </row>
    <row r="848" spans="1:70">
      <c r="A848" s="38"/>
      <c r="B848" s="38"/>
      <c r="C848" s="43"/>
      <c r="D848" s="38"/>
      <c r="E848" s="38"/>
      <c r="F848" s="43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  <c r="X848" s="38"/>
      <c r="Y848" s="38"/>
      <c r="Z848" s="38"/>
      <c r="AA848" s="38"/>
      <c r="AB848" s="38"/>
      <c r="AC848" s="38"/>
      <c r="AD848" s="38"/>
      <c r="AE848" s="38"/>
      <c r="AF848" s="38"/>
      <c r="AG848" s="38"/>
      <c r="AH848" s="38"/>
      <c r="AI848" s="38"/>
      <c r="AJ848" s="38"/>
      <c r="AK848" s="38"/>
      <c r="AL848" s="38"/>
      <c r="AM848" s="38"/>
      <c r="AN848" s="38"/>
      <c r="AO848" s="38"/>
      <c r="AP848" s="38"/>
      <c r="AQ848" s="38"/>
      <c r="AR848" s="38"/>
      <c r="AS848" s="38"/>
      <c r="AT848" s="38"/>
      <c r="AU848" s="38"/>
      <c r="AV848" s="38"/>
      <c r="AW848" s="38"/>
      <c r="AX848" s="38"/>
      <c r="AY848" s="38"/>
      <c r="AZ848" s="38"/>
      <c r="BA848" s="38"/>
      <c r="BB848" s="38"/>
      <c r="BC848" s="38"/>
      <c r="BD848" s="38"/>
      <c r="BE848" s="38"/>
      <c r="BF848" s="38"/>
      <c r="BG848" s="38"/>
      <c r="BH848" s="38"/>
      <c r="BI848" s="38"/>
      <c r="BJ848" s="38"/>
      <c r="BK848" s="38"/>
      <c r="BL848" s="38"/>
      <c r="BM848" s="38"/>
      <c r="BN848" s="38"/>
      <c r="BO848" s="38"/>
      <c r="BP848" s="38"/>
      <c r="BQ848" s="38"/>
      <c r="BR848" s="38"/>
    </row>
    <row r="849" spans="1:70">
      <c r="A849" s="38"/>
      <c r="B849" s="38"/>
      <c r="C849" s="43"/>
      <c r="D849" s="38"/>
      <c r="E849" s="38"/>
      <c r="F849" s="43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  <c r="X849" s="38"/>
      <c r="Y849" s="38"/>
      <c r="Z849" s="38"/>
      <c r="AA849" s="38"/>
      <c r="AB849" s="38"/>
      <c r="AC849" s="38"/>
      <c r="AD849" s="38"/>
      <c r="AE849" s="38"/>
      <c r="AF849" s="38"/>
      <c r="AG849" s="38"/>
      <c r="AH849" s="38"/>
      <c r="AI849" s="38"/>
      <c r="AJ849" s="38"/>
      <c r="AK849" s="38"/>
      <c r="AL849" s="38"/>
      <c r="AM849" s="38"/>
      <c r="AN849" s="38"/>
      <c r="AO849" s="38"/>
      <c r="AP849" s="38"/>
      <c r="AQ849" s="38"/>
      <c r="AR849" s="38"/>
      <c r="AS849" s="38"/>
      <c r="AT849" s="38"/>
      <c r="AU849" s="38"/>
      <c r="AV849" s="38"/>
      <c r="AW849" s="38"/>
      <c r="AX849" s="38"/>
      <c r="AY849" s="38"/>
      <c r="AZ849" s="38"/>
      <c r="BA849" s="38"/>
      <c r="BB849" s="38"/>
      <c r="BC849" s="38"/>
      <c r="BD849" s="38"/>
      <c r="BE849" s="38"/>
      <c r="BF849" s="38"/>
      <c r="BG849" s="38"/>
      <c r="BH849" s="38"/>
      <c r="BI849" s="38"/>
      <c r="BJ849" s="38"/>
      <c r="BK849" s="38"/>
      <c r="BL849" s="38"/>
      <c r="BM849" s="38"/>
      <c r="BN849" s="38"/>
      <c r="BO849" s="38"/>
      <c r="BP849" s="38"/>
      <c r="BQ849" s="38"/>
      <c r="BR849" s="38"/>
    </row>
    <row r="850" spans="1:70">
      <c r="A850" s="38"/>
      <c r="B850" s="38"/>
      <c r="C850" s="43"/>
      <c r="D850" s="38"/>
      <c r="E850" s="38"/>
      <c r="F850" s="43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  <c r="X850" s="38"/>
      <c r="Y850" s="38"/>
      <c r="Z850" s="38"/>
      <c r="AA850" s="38"/>
      <c r="AB850" s="38"/>
      <c r="AC850" s="38"/>
      <c r="AD850" s="38"/>
      <c r="AE850" s="38"/>
      <c r="AF850" s="38"/>
      <c r="AG850" s="38"/>
      <c r="AH850" s="38"/>
      <c r="AI850" s="38"/>
      <c r="AJ850" s="38"/>
      <c r="AK850" s="38"/>
      <c r="AL850" s="38"/>
      <c r="AM850" s="38"/>
      <c r="AN850" s="38"/>
      <c r="AO850" s="38"/>
      <c r="AP850" s="38"/>
      <c r="AQ850" s="38"/>
      <c r="AR850" s="38"/>
      <c r="AS850" s="38"/>
      <c r="AT850" s="38"/>
      <c r="AU850" s="38"/>
      <c r="AV850" s="38"/>
      <c r="AW850" s="38"/>
      <c r="AX850" s="38"/>
      <c r="AY850" s="38"/>
      <c r="AZ850" s="38"/>
      <c r="BA850" s="38"/>
      <c r="BB850" s="38"/>
      <c r="BC850" s="38"/>
      <c r="BD850" s="38"/>
      <c r="BE850" s="38"/>
      <c r="BF850" s="38"/>
      <c r="BG850" s="38"/>
      <c r="BH850" s="38"/>
      <c r="BI850" s="38"/>
      <c r="BJ850" s="38"/>
      <c r="BK850" s="38"/>
      <c r="BL850" s="38"/>
      <c r="BM850" s="38"/>
      <c r="BN850" s="38"/>
      <c r="BO850" s="38"/>
      <c r="BP850" s="38"/>
      <c r="BQ850" s="38"/>
      <c r="BR850" s="38"/>
    </row>
    <row r="851" spans="1:70">
      <c r="A851" s="38"/>
      <c r="B851" s="38"/>
      <c r="C851" s="43"/>
      <c r="D851" s="38"/>
      <c r="E851" s="38"/>
      <c r="F851" s="43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  <c r="X851" s="38"/>
      <c r="Y851" s="38"/>
      <c r="Z851" s="38"/>
      <c r="AA851" s="38"/>
      <c r="AB851" s="38"/>
      <c r="AC851" s="38"/>
      <c r="AD851" s="38"/>
      <c r="AE851" s="38"/>
      <c r="AF851" s="38"/>
      <c r="AG851" s="38"/>
      <c r="AH851" s="38"/>
      <c r="AI851" s="38"/>
      <c r="AJ851" s="38"/>
      <c r="AK851" s="38"/>
      <c r="AL851" s="38"/>
      <c r="AM851" s="38"/>
      <c r="AN851" s="38"/>
      <c r="AO851" s="38"/>
      <c r="AP851" s="38"/>
      <c r="AQ851" s="38"/>
      <c r="AR851" s="38"/>
      <c r="AS851" s="38"/>
      <c r="AT851" s="38"/>
      <c r="AU851" s="38"/>
      <c r="AV851" s="38"/>
      <c r="AW851" s="38"/>
      <c r="AX851" s="38"/>
      <c r="AY851" s="38"/>
      <c r="AZ851" s="38"/>
      <c r="BA851" s="38"/>
      <c r="BB851" s="38"/>
      <c r="BC851" s="38"/>
      <c r="BD851" s="38"/>
      <c r="BE851" s="38"/>
      <c r="BF851" s="38"/>
      <c r="BG851" s="38"/>
      <c r="BH851" s="38"/>
      <c r="BI851" s="38"/>
      <c r="BJ851" s="38"/>
      <c r="BK851" s="38"/>
      <c r="BL851" s="38"/>
      <c r="BM851" s="38"/>
      <c r="BN851" s="38"/>
      <c r="BO851" s="38"/>
      <c r="BP851" s="38"/>
      <c r="BQ851" s="38"/>
      <c r="BR851" s="38"/>
    </row>
    <row r="852" spans="1:70">
      <c r="A852" s="38"/>
      <c r="B852" s="38"/>
      <c r="C852" s="43"/>
      <c r="D852" s="38"/>
      <c r="E852" s="38"/>
      <c r="F852" s="43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  <c r="X852" s="38"/>
      <c r="Y852" s="38"/>
      <c r="Z852" s="38"/>
      <c r="AA852" s="38"/>
      <c r="AB852" s="38"/>
      <c r="AC852" s="38"/>
      <c r="AD852" s="38"/>
      <c r="AE852" s="38"/>
      <c r="AF852" s="38"/>
      <c r="AG852" s="38"/>
      <c r="AH852" s="38"/>
      <c r="AI852" s="38"/>
      <c r="AJ852" s="38"/>
      <c r="AK852" s="38"/>
      <c r="AL852" s="38"/>
      <c r="AM852" s="38"/>
      <c r="AN852" s="38"/>
      <c r="AO852" s="38"/>
      <c r="AP852" s="38"/>
      <c r="AQ852" s="38"/>
      <c r="AR852" s="38"/>
      <c r="AS852" s="38"/>
      <c r="AT852" s="38"/>
      <c r="AU852" s="38"/>
      <c r="AV852" s="38"/>
      <c r="AW852" s="38"/>
      <c r="AX852" s="38"/>
      <c r="AY852" s="38"/>
      <c r="AZ852" s="38"/>
      <c r="BA852" s="38"/>
      <c r="BB852" s="38"/>
      <c r="BC852" s="38"/>
      <c r="BD852" s="38"/>
      <c r="BE852" s="38"/>
      <c r="BF852" s="38"/>
      <c r="BG852" s="38"/>
      <c r="BH852" s="38"/>
      <c r="BI852" s="38"/>
      <c r="BJ852" s="38"/>
      <c r="BK852" s="38"/>
      <c r="BL852" s="38"/>
      <c r="BM852" s="38"/>
      <c r="BN852" s="38"/>
      <c r="BO852" s="38"/>
      <c r="BP852" s="38"/>
      <c r="BQ852" s="38"/>
      <c r="BR852" s="38"/>
    </row>
    <row r="853" spans="1:70">
      <c r="A853" s="38"/>
      <c r="B853" s="38"/>
      <c r="C853" s="43"/>
      <c r="D853" s="38"/>
      <c r="E853" s="38"/>
      <c r="F853" s="43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  <c r="X853" s="38"/>
      <c r="Y853" s="38"/>
      <c r="Z853" s="38"/>
      <c r="AA853" s="38"/>
      <c r="AB853" s="38"/>
      <c r="AC853" s="38"/>
      <c r="AD853" s="38"/>
      <c r="AE853" s="38"/>
      <c r="AF853" s="38"/>
      <c r="AG853" s="38"/>
      <c r="AH853" s="38"/>
      <c r="AI853" s="38"/>
      <c r="AJ853" s="38"/>
      <c r="AK853" s="38"/>
      <c r="AL853" s="38"/>
      <c r="AM853" s="38"/>
      <c r="AN853" s="38"/>
      <c r="AO853" s="38"/>
      <c r="AP853" s="38"/>
      <c r="AQ853" s="38"/>
      <c r="AR853" s="38"/>
      <c r="AS853" s="38"/>
      <c r="AT853" s="38"/>
      <c r="AU853" s="38"/>
      <c r="AV853" s="38"/>
      <c r="AW853" s="38"/>
      <c r="AX853" s="38"/>
      <c r="AY853" s="38"/>
      <c r="AZ853" s="38"/>
      <c r="BA853" s="38"/>
      <c r="BB853" s="38"/>
      <c r="BC853" s="38"/>
      <c r="BD853" s="38"/>
      <c r="BE853" s="38"/>
      <c r="BF853" s="38"/>
      <c r="BG853" s="38"/>
      <c r="BH853" s="38"/>
      <c r="BI853" s="38"/>
      <c r="BJ853" s="38"/>
      <c r="BK853" s="38"/>
      <c r="BL853" s="38"/>
      <c r="BM853" s="38"/>
      <c r="BN853" s="38"/>
      <c r="BO853" s="38"/>
      <c r="BP853" s="38"/>
      <c r="BQ853" s="38"/>
      <c r="BR853" s="38"/>
    </row>
    <row r="854" spans="1:70">
      <c r="A854" s="38"/>
      <c r="B854" s="38"/>
      <c r="C854" s="43"/>
      <c r="D854" s="38"/>
      <c r="E854" s="38"/>
      <c r="F854" s="43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  <c r="X854" s="38"/>
      <c r="Y854" s="38"/>
      <c r="Z854" s="38"/>
      <c r="AA854" s="38"/>
      <c r="AB854" s="38"/>
      <c r="AC854" s="38"/>
      <c r="AD854" s="38"/>
      <c r="AE854" s="38"/>
      <c r="AF854" s="38"/>
      <c r="AG854" s="38"/>
      <c r="AH854" s="38"/>
      <c r="AI854" s="38"/>
      <c r="AJ854" s="38"/>
      <c r="AK854" s="38"/>
      <c r="AL854" s="38"/>
      <c r="AM854" s="38"/>
      <c r="AN854" s="38"/>
      <c r="AO854" s="38"/>
      <c r="AP854" s="38"/>
      <c r="AQ854" s="38"/>
      <c r="AR854" s="38"/>
      <c r="AS854" s="38"/>
      <c r="AT854" s="38"/>
      <c r="AU854" s="38"/>
      <c r="AV854" s="38"/>
      <c r="AW854" s="38"/>
      <c r="AX854" s="38"/>
      <c r="AY854" s="38"/>
      <c r="AZ854" s="38"/>
      <c r="BA854" s="38"/>
      <c r="BB854" s="38"/>
      <c r="BC854" s="38"/>
      <c r="BD854" s="38"/>
      <c r="BE854" s="38"/>
      <c r="BF854" s="38"/>
      <c r="BG854" s="38"/>
      <c r="BH854" s="38"/>
      <c r="BI854" s="38"/>
      <c r="BJ854" s="38"/>
      <c r="BK854" s="38"/>
      <c r="BL854" s="38"/>
      <c r="BM854" s="38"/>
      <c r="BN854" s="38"/>
      <c r="BO854" s="38"/>
      <c r="BP854" s="38"/>
      <c r="BQ854" s="38"/>
      <c r="BR854" s="38"/>
    </row>
    <row r="855" spans="1:70">
      <c r="A855" s="38"/>
      <c r="B855" s="38"/>
      <c r="C855" s="43"/>
      <c r="D855" s="38"/>
      <c r="E855" s="38"/>
      <c r="F855" s="43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  <c r="X855" s="38"/>
      <c r="Y855" s="38"/>
      <c r="Z855" s="38"/>
      <c r="AA855" s="38"/>
      <c r="AB855" s="38"/>
      <c r="AC855" s="38"/>
      <c r="AD855" s="38"/>
      <c r="AE855" s="38"/>
      <c r="AF855" s="38"/>
      <c r="AG855" s="38"/>
      <c r="AH855" s="38"/>
      <c r="AI855" s="38"/>
      <c r="AJ855" s="38"/>
      <c r="AK855" s="38"/>
      <c r="AL855" s="38"/>
      <c r="AM855" s="38"/>
      <c r="AN855" s="38"/>
      <c r="AO855" s="38"/>
      <c r="AP855" s="38"/>
      <c r="AQ855" s="38"/>
      <c r="AR855" s="38"/>
      <c r="AS855" s="38"/>
      <c r="AT855" s="38"/>
      <c r="AU855" s="38"/>
      <c r="AV855" s="38"/>
      <c r="AW855" s="38"/>
      <c r="AX855" s="38"/>
      <c r="AY855" s="38"/>
      <c r="AZ855" s="38"/>
      <c r="BA855" s="38"/>
      <c r="BB855" s="38"/>
      <c r="BC855" s="38"/>
      <c r="BD855" s="38"/>
      <c r="BE855" s="38"/>
      <c r="BF855" s="38"/>
      <c r="BG855" s="38"/>
      <c r="BH855" s="38"/>
      <c r="BI855" s="38"/>
      <c r="BJ855" s="38"/>
      <c r="BK855" s="38"/>
      <c r="BL855" s="38"/>
      <c r="BM855" s="38"/>
      <c r="BN855" s="38"/>
      <c r="BO855" s="38"/>
      <c r="BP855" s="38"/>
      <c r="BQ855" s="38"/>
      <c r="BR855" s="38"/>
    </row>
    <row r="856" spans="1:70">
      <c r="A856" s="38"/>
      <c r="B856" s="38"/>
      <c r="C856" s="43"/>
      <c r="D856" s="38"/>
      <c r="E856" s="38"/>
      <c r="F856" s="43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38"/>
      <c r="V856" s="38"/>
      <c r="W856" s="38"/>
      <c r="X856" s="38"/>
      <c r="Y856" s="38"/>
      <c r="Z856" s="38"/>
      <c r="AA856" s="38"/>
      <c r="AB856" s="38"/>
      <c r="AC856" s="38"/>
      <c r="AD856" s="38"/>
      <c r="AE856" s="38"/>
      <c r="AF856" s="38"/>
      <c r="AG856" s="38"/>
      <c r="AH856" s="38"/>
      <c r="AI856" s="38"/>
      <c r="AJ856" s="38"/>
      <c r="AK856" s="38"/>
      <c r="AL856" s="38"/>
      <c r="AM856" s="38"/>
      <c r="AN856" s="38"/>
      <c r="AO856" s="38"/>
      <c r="AP856" s="38"/>
      <c r="AQ856" s="38"/>
      <c r="AR856" s="38"/>
      <c r="AS856" s="38"/>
      <c r="AT856" s="38"/>
      <c r="AU856" s="38"/>
      <c r="AV856" s="38"/>
      <c r="AW856" s="38"/>
      <c r="AX856" s="38"/>
      <c r="AY856" s="38"/>
      <c r="AZ856" s="38"/>
      <c r="BA856" s="38"/>
      <c r="BB856" s="38"/>
      <c r="BC856" s="38"/>
      <c r="BD856" s="38"/>
      <c r="BE856" s="38"/>
      <c r="BF856" s="38"/>
      <c r="BG856" s="38"/>
      <c r="BH856" s="38"/>
      <c r="BI856" s="38"/>
      <c r="BJ856" s="38"/>
      <c r="BK856" s="38"/>
      <c r="BL856" s="38"/>
      <c r="BM856" s="38"/>
      <c r="BN856" s="38"/>
      <c r="BO856" s="38"/>
      <c r="BP856" s="38"/>
      <c r="BQ856" s="38"/>
      <c r="BR856" s="38"/>
    </row>
    <row r="857" spans="1:70">
      <c r="A857" s="38"/>
      <c r="B857" s="38"/>
      <c r="C857" s="43"/>
      <c r="D857" s="38"/>
      <c r="E857" s="38"/>
      <c r="F857" s="43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38"/>
      <c r="V857" s="38"/>
      <c r="W857" s="38"/>
      <c r="X857" s="38"/>
      <c r="Y857" s="38"/>
      <c r="Z857" s="38"/>
      <c r="AA857" s="38"/>
      <c r="AB857" s="38"/>
      <c r="AC857" s="38"/>
      <c r="AD857" s="38"/>
      <c r="AE857" s="38"/>
      <c r="AF857" s="38"/>
      <c r="AG857" s="38"/>
      <c r="AH857" s="38"/>
      <c r="AI857" s="38"/>
      <c r="AJ857" s="38"/>
      <c r="AK857" s="38"/>
      <c r="AL857" s="38"/>
      <c r="AM857" s="38"/>
      <c r="AN857" s="38"/>
      <c r="AO857" s="38"/>
      <c r="AP857" s="38"/>
      <c r="AQ857" s="38"/>
      <c r="AR857" s="38"/>
      <c r="AS857" s="38"/>
      <c r="AT857" s="38"/>
      <c r="AU857" s="38"/>
      <c r="AV857" s="38"/>
      <c r="AW857" s="38"/>
      <c r="AX857" s="38"/>
      <c r="AY857" s="38"/>
      <c r="AZ857" s="38"/>
      <c r="BA857" s="38"/>
      <c r="BB857" s="38"/>
      <c r="BC857" s="38"/>
      <c r="BD857" s="38"/>
      <c r="BE857" s="38"/>
      <c r="BF857" s="38"/>
      <c r="BG857" s="38"/>
      <c r="BH857" s="38"/>
      <c r="BI857" s="38"/>
      <c r="BJ857" s="38"/>
      <c r="BK857" s="38"/>
      <c r="BL857" s="38"/>
      <c r="BM857" s="38"/>
      <c r="BN857" s="38"/>
      <c r="BO857" s="38"/>
      <c r="BP857" s="38"/>
      <c r="BQ857" s="38"/>
      <c r="BR857" s="38"/>
    </row>
    <row r="858" spans="1:70">
      <c r="A858" s="38"/>
      <c r="B858" s="38"/>
      <c r="C858" s="43"/>
      <c r="D858" s="38"/>
      <c r="E858" s="38"/>
      <c r="F858" s="43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  <c r="W858" s="38"/>
      <c r="X858" s="38"/>
      <c r="Y858" s="38"/>
      <c r="Z858" s="38"/>
      <c r="AA858" s="38"/>
      <c r="AB858" s="38"/>
      <c r="AC858" s="38"/>
      <c r="AD858" s="38"/>
      <c r="AE858" s="38"/>
      <c r="AF858" s="38"/>
      <c r="AG858" s="38"/>
      <c r="AH858" s="38"/>
      <c r="AI858" s="38"/>
      <c r="AJ858" s="38"/>
      <c r="AK858" s="38"/>
      <c r="AL858" s="38"/>
      <c r="AM858" s="38"/>
      <c r="AN858" s="38"/>
      <c r="AO858" s="38"/>
      <c r="AP858" s="38"/>
      <c r="AQ858" s="38"/>
      <c r="AR858" s="38"/>
      <c r="AS858" s="38"/>
      <c r="AT858" s="38"/>
      <c r="AU858" s="38"/>
      <c r="AV858" s="38"/>
      <c r="AW858" s="38"/>
      <c r="AX858" s="38"/>
      <c r="AY858" s="38"/>
      <c r="AZ858" s="38"/>
      <c r="BA858" s="38"/>
      <c r="BB858" s="38"/>
      <c r="BC858" s="38"/>
      <c r="BD858" s="38"/>
      <c r="BE858" s="38"/>
      <c r="BF858" s="38"/>
      <c r="BG858" s="38"/>
      <c r="BH858" s="38"/>
      <c r="BI858" s="38"/>
      <c r="BJ858" s="38"/>
      <c r="BK858" s="38"/>
      <c r="BL858" s="38"/>
      <c r="BM858" s="38"/>
      <c r="BN858" s="38"/>
      <c r="BO858" s="38"/>
      <c r="BP858" s="38"/>
      <c r="BQ858" s="38"/>
      <c r="BR858" s="38"/>
    </row>
    <row r="859" spans="1:70">
      <c r="A859" s="38"/>
      <c r="B859" s="38"/>
      <c r="C859" s="43"/>
      <c r="D859" s="38"/>
      <c r="E859" s="38"/>
      <c r="F859" s="43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38"/>
      <c r="V859" s="38"/>
      <c r="W859" s="38"/>
      <c r="X859" s="38"/>
      <c r="Y859" s="38"/>
      <c r="Z859" s="38"/>
      <c r="AA859" s="38"/>
      <c r="AB859" s="38"/>
      <c r="AC859" s="38"/>
      <c r="AD859" s="38"/>
      <c r="AE859" s="38"/>
      <c r="AF859" s="38"/>
      <c r="AG859" s="38"/>
      <c r="AH859" s="38"/>
      <c r="AI859" s="38"/>
      <c r="AJ859" s="38"/>
      <c r="AK859" s="38"/>
      <c r="AL859" s="38"/>
      <c r="AM859" s="38"/>
      <c r="AN859" s="38"/>
      <c r="AO859" s="38"/>
      <c r="AP859" s="38"/>
      <c r="AQ859" s="38"/>
      <c r="AR859" s="38"/>
      <c r="AS859" s="38"/>
      <c r="AT859" s="38"/>
      <c r="AU859" s="38"/>
      <c r="AV859" s="38"/>
      <c r="AW859" s="38"/>
      <c r="AX859" s="38"/>
      <c r="AY859" s="38"/>
      <c r="AZ859" s="38"/>
      <c r="BA859" s="38"/>
      <c r="BB859" s="38"/>
      <c r="BC859" s="38"/>
      <c r="BD859" s="38"/>
      <c r="BE859" s="38"/>
      <c r="BF859" s="38"/>
      <c r="BG859" s="38"/>
      <c r="BH859" s="38"/>
      <c r="BI859" s="38"/>
      <c r="BJ859" s="38"/>
      <c r="BK859" s="38"/>
      <c r="BL859" s="38"/>
      <c r="BM859" s="38"/>
      <c r="BN859" s="38"/>
      <c r="BO859" s="38"/>
      <c r="BP859" s="38"/>
      <c r="BQ859" s="38"/>
      <c r="BR859" s="38"/>
    </row>
    <row r="860" spans="1:70">
      <c r="A860" s="38"/>
      <c r="B860" s="38"/>
      <c r="C860" s="43"/>
      <c r="D860" s="38"/>
      <c r="E860" s="38"/>
      <c r="F860" s="43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38"/>
      <c r="V860" s="38"/>
      <c r="W860" s="38"/>
      <c r="X860" s="38"/>
      <c r="Y860" s="38"/>
      <c r="Z860" s="38"/>
      <c r="AA860" s="38"/>
      <c r="AB860" s="38"/>
      <c r="AC860" s="38"/>
      <c r="AD860" s="38"/>
      <c r="AE860" s="38"/>
      <c r="AF860" s="38"/>
      <c r="AG860" s="38"/>
      <c r="AH860" s="38"/>
      <c r="AI860" s="38"/>
      <c r="AJ860" s="38"/>
      <c r="AK860" s="38"/>
      <c r="AL860" s="38"/>
      <c r="AM860" s="38"/>
      <c r="AN860" s="38"/>
      <c r="AO860" s="38"/>
      <c r="AP860" s="38"/>
      <c r="AQ860" s="38"/>
      <c r="AR860" s="38"/>
      <c r="AS860" s="38"/>
      <c r="AT860" s="38"/>
      <c r="AU860" s="38"/>
      <c r="AV860" s="38"/>
      <c r="AW860" s="38"/>
      <c r="AX860" s="38"/>
      <c r="AY860" s="38"/>
      <c r="AZ860" s="38"/>
      <c r="BA860" s="38"/>
      <c r="BB860" s="38"/>
      <c r="BC860" s="38"/>
      <c r="BD860" s="38"/>
      <c r="BE860" s="38"/>
      <c r="BF860" s="38"/>
      <c r="BG860" s="38"/>
      <c r="BH860" s="38"/>
      <c r="BI860" s="38"/>
      <c r="BJ860" s="38"/>
      <c r="BK860" s="38"/>
      <c r="BL860" s="38"/>
      <c r="BM860" s="38"/>
      <c r="BN860" s="38"/>
      <c r="BO860" s="38"/>
      <c r="BP860" s="38"/>
      <c r="BQ860" s="38"/>
      <c r="BR860" s="38"/>
    </row>
    <row r="861" spans="1:70">
      <c r="A861" s="38"/>
      <c r="B861" s="38"/>
      <c r="C861" s="43"/>
      <c r="D861" s="38"/>
      <c r="E861" s="38"/>
      <c r="F861" s="43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38"/>
      <c r="V861" s="38"/>
      <c r="W861" s="38"/>
      <c r="X861" s="38"/>
      <c r="Y861" s="38"/>
      <c r="Z861" s="38"/>
      <c r="AA861" s="38"/>
      <c r="AB861" s="38"/>
      <c r="AC861" s="38"/>
      <c r="AD861" s="38"/>
      <c r="AE861" s="38"/>
      <c r="AF861" s="38"/>
      <c r="AG861" s="38"/>
      <c r="AH861" s="38"/>
      <c r="AI861" s="38"/>
      <c r="AJ861" s="38"/>
      <c r="AK861" s="38"/>
      <c r="AL861" s="38"/>
      <c r="AM861" s="38"/>
      <c r="AN861" s="38"/>
      <c r="AO861" s="38"/>
      <c r="AP861" s="38"/>
      <c r="AQ861" s="38"/>
      <c r="AR861" s="38"/>
      <c r="AS861" s="38"/>
      <c r="AT861" s="38"/>
      <c r="AU861" s="38"/>
      <c r="AV861" s="38"/>
      <c r="AW861" s="38"/>
      <c r="AX861" s="38"/>
      <c r="AY861" s="38"/>
      <c r="AZ861" s="38"/>
      <c r="BA861" s="38"/>
      <c r="BB861" s="38"/>
      <c r="BC861" s="38"/>
      <c r="BD861" s="38"/>
      <c r="BE861" s="38"/>
      <c r="BF861" s="38"/>
      <c r="BG861" s="38"/>
      <c r="BH861" s="38"/>
      <c r="BI861" s="38"/>
      <c r="BJ861" s="38"/>
      <c r="BK861" s="38"/>
      <c r="BL861" s="38"/>
      <c r="BM861" s="38"/>
      <c r="BN861" s="38"/>
      <c r="BO861" s="38"/>
      <c r="BP861" s="38"/>
      <c r="BQ861" s="38"/>
      <c r="BR861" s="38"/>
    </row>
    <row r="862" spans="1:70">
      <c r="A862" s="38"/>
      <c r="B862" s="38"/>
      <c r="C862" s="43"/>
      <c r="D862" s="38"/>
      <c r="E862" s="38"/>
      <c r="F862" s="43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38"/>
      <c r="V862" s="38"/>
      <c r="W862" s="38"/>
      <c r="X862" s="38"/>
      <c r="Y862" s="38"/>
      <c r="Z862" s="38"/>
      <c r="AA862" s="38"/>
      <c r="AB862" s="38"/>
      <c r="AC862" s="38"/>
      <c r="AD862" s="38"/>
      <c r="AE862" s="38"/>
      <c r="AF862" s="38"/>
      <c r="AG862" s="38"/>
      <c r="AH862" s="38"/>
      <c r="AI862" s="38"/>
      <c r="AJ862" s="38"/>
      <c r="AK862" s="38"/>
      <c r="AL862" s="38"/>
      <c r="AM862" s="38"/>
      <c r="AN862" s="38"/>
      <c r="AO862" s="38"/>
      <c r="AP862" s="38"/>
      <c r="AQ862" s="38"/>
      <c r="AR862" s="38"/>
      <c r="AS862" s="38"/>
      <c r="AT862" s="38"/>
      <c r="AU862" s="38"/>
      <c r="AV862" s="38"/>
      <c r="AW862" s="38"/>
      <c r="AX862" s="38"/>
      <c r="AY862" s="38"/>
      <c r="AZ862" s="38"/>
      <c r="BA862" s="38"/>
      <c r="BB862" s="38"/>
      <c r="BC862" s="38"/>
      <c r="BD862" s="38"/>
      <c r="BE862" s="38"/>
      <c r="BF862" s="38"/>
      <c r="BG862" s="38"/>
      <c r="BH862" s="38"/>
      <c r="BI862" s="38"/>
      <c r="BJ862" s="38"/>
      <c r="BK862" s="38"/>
      <c r="BL862" s="38"/>
      <c r="BM862" s="38"/>
      <c r="BN862" s="38"/>
      <c r="BO862" s="38"/>
      <c r="BP862" s="38"/>
      <c r="BQ862" s="38"/>
      <c r="BR862" s="38"/>
    </row>
    <row r="863" spans="1:70">
      <c r="A863" s="38"/>
      <c r="B863" s="38"/>
      <c r="C863" s="43"/>
      <c r="D863" s="38"/>
      <c r="E863" s="38"/>
      <c r="F863" s="43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38"/>
      <c r="V863" s="38"/>
      <c r="W863" s="38"/>
      <c r="X863" s="38"/>
      <c r="Y863" s="38"/>
      <c r="Z863" s="38"/>
      <c r="AA863" s="38"/>
      <c r="AB863" s="38"/>
      <c r="AC863" s="38"/>
      <c r="AD863" s="38"/>
      <c r="AE863" s="38"/>
      <c r="AF863" s="38"/>
      <c r="AG863" s="38"/>
      <c r="AH863" s="38"/>
      <c r="AI863" s="38"/>
      <c r="AJ863" s="38"/>
      <c r="AK863" s="38"/>
      <c r="AL863" s="38"/>
      <c r="AM863" s="38"/>
      <c r="AN863" s="38"/>
      <c r="AO863" s="38"/>
      <c r="AP863" s="38"/>
      <c r="AQ863" s="38"/>
      <c r="AR863" s="38"/>
      <c r="AS863" s="38"/>
      <c r="AT863" s="38"/>
      <c r="AU863" s="38"/>
      <c r="AV863" s="38"/>
      <c r="AW863" s="38"/>
      <c r="AX863" s="38"/>
      <c r="AY863" s="38"/>
      <c r="AZ863" s="38"/>
      <c r="BA863" s="38"/>
      <c r="BB863" s="38"/>
      <c r="BC863" s="38"/>
      <c r="BD863" s="38"/>
      <c r="BE863" s="38"/>
      <c r="BF863" s="38"/>
      <c r="BG863" s="38"/>
      <c r="BH863" s="38"/>
      <c r="BI863" s="38"/>
      <c r="BJ863" s="38"/>
      <c r="BK863" s="38"/>
      <c r="BL863" s="38"/>
      <c r="BM863" s="38"/>
      <c r="BN863" s="38"/>
      <c r="BO863" s="38"/>
      <c r="BP863" s="38"/>
      <c r="BQ863" s="38"/>
      <c r="BR863" s="38"/>
    </row>
    <row r="864" spans="1:70">
      <c r="A864" s="38"/>
      <c r="B864" s="38"/>
      <c r="C864" s="43"/>
      <c r="D864" s="38"/>
      <c r="E864" s="38"/>
      <c r="F864" s="43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38"/>
      <c r="V864" s="38"/>
      <c r="W864" s="38"/>
      <c r="X864" s="38"/>
      <c r="Y864" s="38"/>
      <c r="Z864" s="38"/>
      <c r="AA864" s="38"/>
      <c r="AB864" s="38"/>
      <c r="AC864" s="38"/>
      <c r="AD864" s="38"/>
      <c r="AE864" s="38"/>
      <c r="AF864" s="38"/>
      <c r="AG864" s="38"/>
      <c r="AH864" s="38"/>
      <c r="AI864" s="38"/>
      <c r="AJ864" s="38"/>
      <c r="AK864" s="38"/>
      <c r="AL864" s="38"/>
      <c r="AM864" s="38"/>
      <c r="AN864" s="38"/>
      <c r="AO864" s="38"/>
      <c r="AP864" s="38"/>
      <c r="AQ864" s="38"/>
      <c r="AR864" s="38"/>
      <c r="AS864" s="38"/>
      <c r="AT864" s="38"/>
      <c r="AU864" s="38"/>
      <c r="AV864" s="38"/>
      <c r="AW864" s="38"/>
      <c r="AX864" s="38"/>
      <c r="AY864" s="38"/>
      <c r="AZ864" s="38"/>
      <c r="BA864" s="38"/>
      <c r="BB864" s="38"/>
      <c r="BC864" s="38"/>
      <c r="BD864" s="38"/>
      <c r="BE864" s="38"/>
      <c r="BF864" s="38"/>
      <c r="BG864" s="38"/>
      <c r="BH864" s="38"/>
      <c r="BI864" s="38"/>
      <c r="BJ864" s="38"/>
      <c r="BK864" s="38"/>
      <c r="BL864" s="38"/>
      <c r="BM864" s="38"/>
      <c r="BN864" s="38"/>
      <c r="BO864" s="38"/>
      <c r="BP864" s="38"/>
      <c r="BQ864" s="38"/>
      <c r="BR864" s="38"/>
    </row>
    <row r="865" spans="1:70">
      <c r="A865" s="38"/>
      <c r="B865" s="38"/>
      <c r="C865" s="43"/>
      <c r="D865" s="38"/>
      <c r="E865" s="38"/>
      <c r="F865" s="43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38"/>
      <c r="V865" s="38"/>
      <c r="W865" s="38"/>
      <c r="X865" s="38"/>
      <c r="Y865" s="38"/>
      <c r="Z865" s="38"/>
      <c r="AA865" s="38"/>
      <c r="AB865" s="38"/>
      <c r="AC865" s="38"/>
      <c r="AD865" s="38"/>
      <c r="AE865" s="38"/>
      <c r="AF865" s="38"/>
      <c r="AG865" s="38"/>
      <c r="AH865" s="38"/>
      <c r="AI865" s="38"/>
      <c r="AJ865" s="38"/>
      <c r="AK865" s="38"/>
      <c r="AL865" s="38"/>
      <c r="AM865" s="38"/>
      <c r="AN865" s="38"/>
      <c r="AO865" s="38"/>
      <c r="AP865" s="38"/>
      <c r="AQ865" s="38"/>
      <c r="AR865" s="38"/>
      <c r="AS865" s="38"/>
      <c r="AT865" s="38"/>
      <c r="AU865" s="38"/>
      <c r="AV865" s="38"/>
      <c r="AW865" s="38"/>
      <c r="AX865" s="38"/>
      <c r="AY865" s="38"/>
      <c r="AZ865" s="38"/>
      <c r="BA865" s="38"/>
      <c r="BB865" s="38"/>
      <c r="BC865" s="38"/>
      <c r="BD865" s="38"/>
      <c r="BE865" s="38"/>
      <c r="BF865" s="38"/>
      <c r="BG865" s="38"/>
      <c r="BH865" s="38"/>
      <c r="BI865" s="38"/>
      <c r="BJ865" s="38"/>
      <c r="BK865" s="38"/>
      <c r="BL865" s="38"/>
      <c r="BM865" s="38"/>
      <c r="BN865" s="38"/>
      <c r="BO865" s="38"/>
      <c r="BP865" s="38"/>
      <c r="BQ865" s="38"/>
      <c r="BR865" s="38"/>
    </row>
    <row r="866" spans="1:70">
      <c r="A866" s="38"/>
      <c r="B866" s="38"/>
      <c r="C866" s="43"/>
      <c r="D866" s="38"/>
      <c r="E866" s="38"/>
      <c r="F866" s="43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38"/>
      <c r="V866" s="38"/>
      <c r="W866" s="38"/>
      <c r="X866" s="38"/>
      <c r="Y866" s="38"/>
      <c r="Z866" s="38"/>
      <c r="AA866" s="38"/>
      <c r="AB866" s="38"/>
      <c r="AC866" s="38"/>
      <c r="AD866" s="38"/>
      <c r="AE866" s="38"/>
      <c r="AF866" s="38"/>
      <c r="AG866" s="38"/>
      <c r="AH866" s="38"/>
      <c r="AI866" s="38"/>
      <c r="AJ866" s="38"/>
      <c r="AK866" s="38"/>
      <c r="AL866" s="38"/>
      <c r="AM866" s="38"/>
      <c r="AN866" s="38"/>
      <c r="AO866" s="38"/>
      <c r="AP866" s="38"/>
      <c r="AQ866" s="38"/>
      <c r="AR866" s="38"/>
      <c r="AS866" s="38"/>
      <c r="AT866" s="38"/>
      <c r="AU866" s="38"/>
      <c r="AV866" s="38"/>
      <c r="AW866" s="38"/>
      <c r="AX866" s="38"/>
      <c r="AY866" s="38"/>
      <c r="AZ866" s="38"/>
      <c r="BA866" s="38"/>
      <c r="BB866" s="38"/>
      <c r="BC866" s="38"/>
      <c r="BD866" s="38"/>
      <c r="BE866" s="38"/>
      <c r="BF866" s="38"/>
      <c r="BG866" s="38"/>
      <c r="BH866" s="38"/>
      <c r="BI866" s="38"/>
      <c r="BJ866" s="38"/>
      <c r="BK866" s="38"/>
      <c r="BL866" s="38"/>
      <c r="BM866" s="38"/>
      <c r="BN866" s="38"/>
      <c r="BO866" s="38"/>
      <c r="BP866" s="38"/>
      <c r="BQ866" s="38"/>
      <c r="BR866" s="38"/>
    </row>
    <row r="867" spans="1:70">
      <c r="A867" s="38"/>
      <c r="B867" s="38"/>
      <c r="C867" s="43"/>
      <c r="D867" s="38"/>
      <c r="E867" s="38"/>
      <c r="F867" s="43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38"/>
      <c r="V867" s="38"/>
      <c r="W867" s="38"/>
      <c r="X867" s="38"/>
      <c r="Y867" s="38"/>
      <c r="Z867" s="38"/>
      <c r="AA867" s="38"/>
      <c r="AB867" s="38"/>
      <c r="AC867" s="38"/>
      <c r="AD867" s="38"/>
      <c r="AE867" s="38"/>
      <c r="AF867" s="38"/>
      <c r="AG867" s="38"/>
      <c r="AH867" s="38"/>
      <c r="AI867" s="38"/>
      <c r="AJ867" s="38"/>
      <c r="AK867" s="38"/>
      <c r="AL867" s="38"/>
      <c r="AM867" s="38"/>
      <c r="AN867" s="38"/>
      <c r="AO867" s="38"/>
      <c r="AP867" s="38"/>
      <c r="AQ867" s="38"/>
      <c r="AR867" s="38"/>
      <c r="AS867" s="38"/>
      <c r="AT867" s="38"/>
      <c r="AU867" s="38"/>
      <c r="AV867" s="38"/>
      <c r="AW867" s="38"/>
      <c r="AX867" s="38"/>
      <c r="AY867" s="38"/>
      <c r="AZ867" s="38"/>
      <c r="BA867" s="38"/>
      <c r="BB867" s="38"/>
      <c r="BC867" s="38"/>
      <c r="BD867" s="38"/>
      <c r="BE867" s="38"/>
      <c r="BF867" s="38"/>
      <c r="BG867" s="38"/>
      <c r="BH867" s="38"/>
      <c r="BI867" s="38"/>
      <c r="BJ867" s="38"/>
      <c r="BK867" s="38"/>
      <c r="BL867" s="38"/>
      <c r="BM867" s="38"/>
      <c r="BN867" s="38"/>
      <c r="BO867" s="38"/>
      <c r="BP867" s="38"/>
      <c r="BQ867" s="38"/>
      <c r="BR867" s="38"/>
    </row>
    <row r="868" spans="1:70">
      <c r="A868" s="38"/>
      <c r="B868" s="38"/>
      <c r="C868" s="43"/>
      <c r="D868" s="38"/>
      <c r="E868" s="38"/>
      <c r="F868" s="43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38"/>
      <c r="V868" s="38"/>
      <c r="W868" s="38"/>
      <c r="X868" s="38"/>
      <c r="Y868" s="38"/>
      <c r="Z868" s="38"/>
      <c r="AA868" s="38"/>
      <c r="AB868" s="38"/>
      <c r="AC868" s="38"/>
      <c r="AD868" s="38"/>
      <c r="AE868" s="38"/>
      <c r="AF868" s="38"/>
      <c r="AG868" s="38"/>
      <c r="AH868" s="38"/>
      <c r="AI868" s="38"/>
      <c r="AJ868" s="38"/>
      <c r="AK868" s="38"/>
      <c r="AL868" s="38"/>
      <c r="AM868" s="38"/>
      <c r="AN868" s="38"/>
      <c r="AO868" s="38"/>
      <c r="AP868" s="38"/>
      <c r="AQ868" s="38"/>
      <c r="AR868" s="38"/>
      <c r="AS868" s="38"/>
      <c r="AT868" s="38"/>
      <c r="AU868" s="38"/>
      <c r="AV868" s="38"/>
      <c r="AW868" s="38"/>
      <c r="AX868" s="38"/>
      <c r="AY868" s="38"/>
      <c r="AZ868" s="38"/>
      <c r="BA868" s="38"/>
      <c r="BB868" s="38"/>
      <c r="BC868" s="38"/>
      <c r="BD868" s="38"/>
      <c r="BE868" s="38"/>
      <c r="BF868" s="38"/>
      <c r="BG868" s="38"/>
      <c r="BH868" s="38"/>
      <c r="BI868" s="38"/>
      <c r="BJ868" s="38"/>
      <c r="BK868" s="38"/>
      <c r="BL868" s="38"/>
      <c r="BM868" s="38"/>
      <c r="BN868" s="38"/>
      <c r="BO868" s="38"/>
      <c r="BP868" s="38"/>
      <c r="BQ868" s="38"/>
      <c r="BR868" s="38"/>
    </row>
    <row r="869" spans="1:70">
      <c r="A869" s="38"/>
      <c r="B869" s="38"/>
      <c r="C869" s="43"/>
      <c r="D869" s="38"/>
      <c r="E869" s="38"/>
      <c r="F869" s="43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38"/>
      <c r="V869" s="38"/>
      <c r="W869" s="38"/>
      <c r="X869" s="38"/>
      <c r="Y869" s="38"/>
      <c r="Z869" s="38"/>
      <c r="AA869" s="38"/>
      <c r="AB869" s="38"/>
      <c r="AC869" s="38"/>
      <c r="AD869" s="38"/>
      <c r="AE869" s="38"/>
      <c r="AF869" s="38"/>
      <c r="AG869" s="38"/>
      <c r="AH869" s="38"/>
      <c r="AI869" s="38"/>
      <c r="AJ869" s="38"/>
      <c r="AK869" s="38"/>
      <c r="AL869" s="38"/>
      <c r="AM869" s="38"/>
      <c r="AN869" s="38"/>
      <c r="AO869" s="38"/>
      <c r="AP869" s="38"/>
      <c r="AQ869" s="38"/>
      <c r="AR869" s="38"/>
      <c r="AS869" s="38"/>
      <c r="AT869" s="38"/>
      <c r="AU869" s="38"/>
      <c r="AV869" s="38"/>
      <c r="AW869" s="38"/>
      <c r="AX869" s="38"/>
      <c r="AY869" s="38"/>
      <c r="AZ869" s="38"/>
      <c r="BA869" s="38"/>
      <c r="BB869" s="38"/>
      <c r="BC869" s="38"/>
      <c r="BD869" s="38"/>
      <c r="BE869" s="38"/>
      <c r="BF869" s="38"/>
      <c r="BG869" s="38"/>
      <c r="BH869" s="38"/>
      <c r="BI869" s="38"/>
      <c r="BJ869" s="38"/>
      <c r="BK869" s="38"/>
      <c r="BL869" s="38"/>
      <c r="BM869" s="38"/>
      <c r="BN869" s="38"/>
      <c r="BO869" s="38"/>
      <c r="BP869" s="38"/>
      <c r="BQ869" s="38"/>
      <c r="BR869" s="38"/>
    </row>
    <row r="870" spans="1:70">
      <c r="A870" s="38"/>
      <c r="B870" s="38"/>
      <c r="C870" s="43"/>
      <c r="D870" s="38"/>
      <c r="E870" s="38"/>
      <c r="F870" s="43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38"/>
      <c r="V870" s="38"/>
      <c r="W870" s="38"/>
      <c r="X870" s="38"/>
      <c r="Y870" s="38"/>
      <c r="Z870" s="38"/>
      <c r="AA870" s="38"/>
      <c r="AB870" s="38"/>
      <c r="AC870" s="38"/>
      <c r="AD870" s="38"/>
      <c r="AE870" s="38"/>
      <c r="AF870" s="38"/>
      <c r="AG870" s="38"/>
      <c r="AH870" s="38"/>
      <c r="AI870" s="38"/>
      <c r="AJ870" s="38"/>
      <c r="AK870" s="38"/>
      <c r="AL870" s="38"/>
      <c r="AM870" s="38"/>
      <c r="AN870" s="38"/>
      <c r="AO870" s="38"/>
      <c r="AP870" s="38"/>
      <c r="AQ870" s="38"/>
      <c r="AR870" s="38"/>
      <c r="AS870" s="38"/>
      <c r="AT870" s="38"/>
      <c r="AU870" s="38"/>
      <c r="AV870" s="38"/>
      <c r="AW870" s="38"/>
      <c r="AX870" s="38"/>
      <c r="AY870" s="38"/>
      <c r="AZ870" s="38"/>
      <c r="BA870" s="38"/>
      <c r="BB870" s="38"/>
      <c r="BC870" s="38"/>
      <c r="BD870" s="38"/>
      <c r="BE870" s="38"/>
      <c r="BF870" s="38"/>
      <c r="BG870" s="38"/>
      <c r="BH870" s="38"/>
      <c r="BI870" s="38"/>
      <c r="BJ870" s="38"/>
      <c r="BK870" s="38"/>
      <c r="BL870" s="38"/>
      <c r="BM870" s="38"/>
      <c r="BN870" s="38"/>
      <c r="BO870" s="38"/>
      <c r="BP870" s="38"/>
      <c r="BQ870" s="38"/>
      <c r="BR870" s="38"/>
    </row>
    <row r="871" spans="1:70">
      <c r="A871" s="38"/>
      <c r="B871" s="38"/>
      <c r="C871" s="43"/>
      <c r="D871" s="38"/>
      <c r="E871" s="38"/>
      <c r="F871" s="43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38"/>
      <c r="V871" s="38"/>
      <c r="W871" s="38"/>
      <c r="X871" s="38"/>
      <c r="Y871" s="38"/>
      <c r="Z871" s="38"/>
      <c r="AA871" s="38"/>
      <c r="AB871" s="38"/>
      <c r="AC871" s="38"/>
      <c r="AD871" s="38"/>
      <c r="AE871" s="38"/>
      <c r="AF871" s="38"/>
      <c r="AG871" s="38"/>
      <c r="AH871" s="38"/>
      <c r="AI871" s="38"/>
      <c r="AJ871" s="38"/>
      <c r="AK871" s="38"/>
      <c r="AL871" s="38"/>
      <c r="AM871" s="38"/>
      <c r="AN871" s="38"/>
      <c r="AO871" s="38"/>
      <c r="AP871" s="38"/>
      <c r="AQ871" s="38"/>
      <c r="AR871" s="38"/>
      <c r="AS871" s="38"/>
      <c r="AT871" s="38"/>
      <c r="AU871" s="38"/>
      <c r="AV871" s="38"/>
      <c r="AW871" s="38"/>
      <c r="AX871" s="38"/>
      <c r="AY871" s="38"/>
      <c r="AZ871" s="38"/>
      <c r="BA871" s="38"/>
      <c r="BB871" s="38"/>
      <c r="BC871" s="38"/>
      <c r="BD871" s="38"/>
      <c r="BE871" s="38"/>
      <c r="BF871" s="38"/>
      <c r="BG871" s="38"/>
      <c r="BH871" s="38"/>
      <c r="BI871" s="38"/>
      <c r="BJ871" s="38"/>
      <c r="BK871" s="38"/>
      <c r="BL871" s="38"/>
      <c r="BM871" s="38"/>
      <c r="BN871" s="38"/>
      <c r="BO871" s="38"/>
      <c r="BP871" s="38"/>
      <c r="BQ871" s="38"/>
      <c r="BR871" s="38"/>
    </row>
    <row r="872" spans="1:70">
      <c r="A872" s="38"/>
      <c r="B872" s="38"/>
      <c r="C872" s="43"/>
      <c r="D872" s="38"/>
      <c r="E872" s="38"/>
      <c r="F872" s="43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38"/>
      <c r="V872" s="38"/>
      <c r="W872" s="38"/>
      <c r="X872" s="38"/>
      <c r="Y872" s="38"/>
      <c r="Z872" s="38"/>
      <c r="AA872" s="38"/>
      <c r="AB872" s="38"/>
      <c r="AC872" s="38"/>
      <c r="AD872" s="38"/>
      <c r="AE872" s="38"/>
      <c r="AF872" s="38"/>
      <c r="AG872" s="38"/>
      <c r="AH872" s="38"/>
      <c r="AI872" s="38"/>
      <c r="AJ872" s="38"/>
      <c r="AK872" s="38"/>
      <c r="AL872" s="38"/>
      <c r="AM872" s="38"/>
      <c r="AN872" s="38"/>
      <c r="AO872" s="38"/>
      <c r="AP872" s="38"/>
      <c r="AQ872" s="38"/>
      <c r="AR872" s="38"/>
      <c r="AS872" s="38"/>
      <c r="AT872" s="38"/>
      <c r="AU872" s="38"/>
      <c r="AV872" s="38"/>
      <c r="AW872" s="38"/>
      <c r="AX872" s="38"/>
      <c r="AY872" s="38"/>
      <c r="AZ872" s="38"/>
      <c r="BA872" s="38"/>
      <c r="BB872" s="38"/>
      <c r="BC872" s="38"/>
      <c r="BD872" s="38"/>
      <c r="BE872" s="38"/>
      <c r="BF872" s="38"/>
      <c r="BG872" s="38"/>
      <c r="BH872" s="38"/>
      <c r="BI872" s="38"/>
      <c r="BJ872" s="38"/>
      <c r="BK872" s="38"/>
      <c r="BL872" s="38"/>
      <c r="BM872" s="38"/>
      <c r="BN872" s="38"/>
      <c r="BO872" s="38"/>
      <c r="BP872" s="38"/>
      <c r="BQ872" s="38"/>
      <c r="BR872" s="38"/>
    </row>
    <row r="873" spans="1:70">
      <c r="A873" s="38"/>
      <c r="B873" s="38"/>
      <c r="C873" s="43"/>
      <c r="D873" s="38"/>
      <c r="E873" s="38"/>
      <c r="F873" s="43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38"/>
      <c r="V873" s="38"/>
      <c r="W873" s="38"/>
      <c r="X873" s="38"/>
      <c r="Y873" s="38"/>
      <c r="Z873" s="38"/>
      <c r="AA873" s="38"/>
      <c r="AB873" s="38"/>
      <c r="AC873" s="38"/>
      <c r="AD873" s="38"/>
      <c r="AE873" s="38"/>
      <c r="AF873" s="38"/>
      <c r="AG873" s="38"/>
      <c r="AH873" s="38"/>
      <c r="AI873" s="38"/>
      <c r="AJ873" s="38"/>
      <c r="AK873" s="38"/>
      <c r="AL873" s="38"/>
      <c r="AM873" s="38"/>
      <c r="AN873" s="38"/>
      <c r="AO873" s="38"/>
      <c r="AP873" s="38"/>
      <c r="AQ873" s="38"/>
      <c r="AR873" s="38"/>
      <c r="AS873" s="38"/>
      <c r="AT873" s="38"/>
      <c r="AU873" s="38"/>
      <c r="AV873" s="38"/>
      <c r="AW873" s="38"/>
      <c r="AX873" s="38"/>
      <c r="AY873" s="38"/>
      <c r="AZ873" s="38"/>
      <c r="BA873" s="38"/>
      <c r="BB873" s="38"/>
      <c r="BC873" s="38"/>
      <c r="BD873" s="38"/>
      <c r="BE873" s="38"/>
      <c r="BF873" s="38"/>
      <c r="BG873" s="38"/>
      <c r="BH873" s="38"/>
      <c r="BI873" s="38"/>
      <c r="BJ873" s="38"/>
      <c r="BK873" s="38"/>
      <c r="BL873" s="38"/>
      <c r="BM873" s="38"/>
      <c r="BN873" s="38"/>
      <c r="BO873" s="38"/>
      <c r="BP873" s="38"/>
      <c r="BQ873" s="38"/>
      <c r="BR873" s="38"/>
    </row>
    <row r="874" spans="1:70">
      <c r="A874" s="38"/>
      <c r="B874" s="38"/>
      <c r="C874" s="43"/>
      <c r="D874" s="38"/>
      <c r="E874" s="38"/>
      <c r="F874" s="43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38"/>
      <c r="V874" s="38"/>
      <c r="W874" s="38"/>
      <c r="X874" s="38"/>
      <c r="Y874" s="38"/>
      <c r="Z874" s="38"/>
      <c r="AA874" s="38"/>
      <c r="AB874" s="38"/>
      <c r="AC874" s="38"/>
      <c r="AD874" s="38"/>
      <c r="AE874" s="38"/>
      <c r="AF874" s="38"/>
      <c r="AG874" s="38"/>
      <c r="AH874" s="38"/>
      <c r="AI874" s="38"/>
      <c r="AJ874" s="38"/>
      <c r="AK874" s="38"/>
      <c r="AL874" s="38"/>
      <c r="AM874" s="38"/>
      <c r="AN874" s="38"/>
      <c r="AO874" s="38"/>
      <c r="AP874" s="38"/>
      <c r="AQ874" s="38"/>
      <c r="AR874" s="38"/>
      <c r="AS874" s="38"/>
      <c r="AT874" s="38"/>
      <c r="AU874" s="38"/>
      <c r="AV874" s="38"/>
      <c r="AW874" s="38"/>
      <c r="AX874" s="38"/>
      <c r="AY874" s="38"/>
      <c r="AZ874" s="38"/>
      <c r="BA874" s="38"/>
      <c r="BB874" s="38"/>
      <c r="BC874" s="38"/>
      <c r="BD874" s="38"/>
      <c r="BE874" s="38"/>
      <c r="BF874" s="38"/>
      <c r="BG874" s="38"/>
      <c r="BH874" s="38"/>
      <c r="BI874" s="38"/>
      <c r="BJ874" s="38"/>
      <c r="BK874" s="38"/>
      <c r="BL874" s="38"/>
      <c r="BM874" s="38"/>
      <c r="BN874" s="38"/>
      <c r="BO874" s="38"/>
      <c r="BP874" s="38"/>
      <c r="BQ874" s="38"/>
      <c r="BR874" s="38"/>
    </row>
    <row r="875" spans="1:70">
      <c r="A875" s="38"/>
      <c r="B875" s="38"/>
      <c r="C875" s="43"/>
      <c r="D875" s="38"/>
      <c r="E875" s="38"/>
      <c r="F875" s="43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38"/>
      <c r="V875" s="38"/>
      <c r="W875" s="38"/>
      <c r="X875" s="38"/>
      <c r="Y875" s="38"/>
      <c r="Z875" s="38"/>
      <c r="AA875" s="38"/>
      <c r="AB875" s="38"/>
      <c r="AC875" s="38"/>
      <c r="AD875" s="38"/>
      <c r="AE875" s="38"/>
      <c r="AF875" s="38"/>
      <c r="AG875" s="38"/>
      <c r="AH875" s="38"/>
      <c r="AI875" s="38"/>
      <c r="AJ875" s="38"/>
      <c r="AK875" s="38"/>
      <c r="AL875" s="38"/>
      <c r="AM875" s="38"/>
      <c r="AN875" s="38"/>
      <c r="AO875" s="38"/>
      <c r="AP875" s="38"/>
      <c r="AQ875" s="38"/>
      <c r="AR875" s="38"/>
      <c r="AS875" s="38"/>
      <c r="AT875" s="38"/>
      <c r="AU875" s="38"/>
      <c r="AV875" s="38"/>
      <c r="AW875" s="38"/>
      <c r="AX875" s="38"/>
      <c r="AY875" s="38"/>
      <c r="AZ875" s="38"/>
      <c r="BA875" s="38"/>
      <c r="BB875" s="38"/>
      <c r="BC875" s="38"/>
      <c r="BD875" s="38"/>
      <c r="BE875" s="38"/>
      <c r="BF875" s="38"/>
      <c r="BG875" s="38"/>
      <c r="BH875" s="38"/>
      <c r="BI875" s="38"/>
      <c r="BJ875" s="38"/>
      <c r="BK875" s="38"/>
      <c r="BL875" s="38"/>
      <c r="BM875" s="38"/>
      <c r="BN875" s="38"/>
      <c r="BO875" s="38"/>
      <c r="BP875" s="38"/>
      <c r="BQ875" s="38"/>
      <c r="BR875" s="38"/>
    </row>
    <row r="876" spans="1:70">
      <c r="A876" s="38"/>
      <c r="B876" s="38"/>
      <c r="C876" s="43"/>
      <c r="D876" s="38"/>
      <c r="E876" s="38"/>
      <c r="F876" s="43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38"/>
      <c r="V876" s="38"/>
      <c r="W876" s="38"/>
      <c r="X876" s="38"/>
      <c r="Y876" s="38"/>
      <c r="Z876" s="38"/>
      <c r="AA876" s="38"/>
      <c r="AB876" s="38"/>
      <c r="AC876" s="38"/>
      <c r="AD876" s="38"/>
      <c r="AE876" s="38"/>
      <c r="AF876" s="38"/>
      <c r="AG876" s="38"/>
      <c r="AH876" s="38"/>
      <c r="AI876" s="38"/>
      <c r="AJ876" s="38"/>
      <c r="AK876" s="38"/>
      <c r="AL876" s="38"/>
      <c r="AM876" s="38"/>
      <c r="AN876" s="38"/>
      <c r="AO876" s="38"/>
      <c r="AP876" s="38"/>
      <c r="AQ876" s="38"/>
      <c r="AR876" s="38"/>
      <c r="AS876" s="38"/>
      <c r="AT876" s="38"/>
      <c r="AU876" s="38"/>
      <c r="AV876" s="38"/>
      <c r="AW876" s="38"/>
      <c r="AX876" s="38"/>
      <c r="AY876" s="38"/>
      <c r="AZ876" s="38"/>
      <c r="BA876" s="38"/>
      <c r="BB876" s="38"/>
      <c r="BC876" s="38"/>
      <c r="BD876" s="38"/>
      <c r="BE876" s="38"/>
      <c r="BF876" s="38"/>
      <c r="BG876" s="38"/>
      <c r="BH876" s="38"/>
      <c r="BI876" s="38"/>
      <c r="BJ876" s="38"/>
      <c r="BK876" s="38"/>
      <c r="BL876" s="38"/>
      <c r="BM876" s="38"/>
      <c r="BN876" s="38"/>
      <c r="BO876" s="38"/>
      <c r="BP876" s="38"/>
      <c r="BQ876" s="38"/>
      <c r="BR876" s="38"/>
    </row>
    <row r="877" spans="1:70">
      <c r="A877" s="38"/>
      <c r="B877" s="38"/>
      <c r="C877" s="43"/>
      <c r="D877" s="38"/>
      <c r="E877" s="38"/>
      <c r="F877" s="43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38"/>
      <c r="V877" s="38"/>
      <c r="W877" s="38"/>
      <c r="X877" s="38"/>
      <c r="Y877" s="38"/>
      <c r="Z877" s="38"/>
      <c r="AA877" s="38"/>
      <c r="AB877" s="38"/>
      <c r="AC877" s="38"/>
      <c r="AD877" s="38"/>
      <c r="AE877" s="38"/>
      <c r="AF877" s="38"/>
      <c r="AG877" s="38"/>
      <c r="AH877" s="38"/>
      <c r="AI877" s="38"/>
      <c r="AJ877" s="38"/>
      <c r="AK877" s="38"/>
      <c r="AL877" s="38"/>
      <c r="AM877" s="38"/>
      <c r="AN877" s="38"/>
      <c r="AO877" s="38"/>
      <c r="AP877" s="38"/>
      <c r="AQ877" s="38"/>
      <c r="AR877" s="38"/>
      <c r="AS877" s="38"/>
      <c r="AT877" s="38"/>
      <c r="AU877" s="38"/>
      <c r="AV877" s="38"/>
      <c r="AW877" s="38"/>
      <c r="AX877" s="38"/>
      <c r="AY877" s="38"/>
      <c r="AZ877" s="38"/>
      <c r="BA877" s="38"/>
      <c r="BB877" s="38"/>
      <c r="BC877" s="38"/>
      <c r="BD877" s="38"/>
      <c r="BE877" s="38"/>
      <c r="BF877" s="38"/>
      <c r="BG877" s="38"/>
      <c r="BH877" s="38"/>
      <c r="BI877" s="38"/>
      <c r="BJ877" s="38"/>
      <c r="BK877" s="38"/>
      <c r="BL877" s="38"/>
      <c r="BM877" s="38"/>
      <c r="BN877" s="38"/>
      <c r="BO877" s="38"/>
      <c r="BP877" s="38"/>
      <c r="BQ877" s="38"/>
      <c r="BR877" s="38"/>
    </row>
    <row r="878" spans="1:70">
      <c r="A878" s="38"/>
      <c r="B878" s="38"/>
      <c r="C878" s="43"/>
      <c r="D878" s="38"/>
      <c r="E878" s="38"/>
      <c r="F878" s="43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38"/>
      <c r="V878" s="38"/>
      <c r="W878" s="38"/>
      <c r="X878" s="38"/>
      <c r="Y878" s="38"/>
      <c r="Z878" s="38"/>
      <c r="AA878" s="38"/>
      <c r="AB878" s="38"/>
      <c r="AC878" s="38"/>
      <c r="AD878" s="38"/>
      <c r="AE878" s="38"/>
      <c r="AF878" s="38"/>
      <c r="AG878" s="38"/>
      <c r="AH878" s="38"/>
      <c r="AI878" s="38"/>
      <c r="AJ878" s="38"/>
      <c r="AK878" s="38"/>
      <c r="AL878" s="38"/>
      <c r="AM878" s="38"/>
      <c r="AN878" s="38"/>
      <c r="AO878" s="38"/>
      <c r="AP878" s="38"/>
      <c r="AQ878" s="38"/>
      <c r="AR878" s="38"/>
      <c r="AS878" s="38"/>
      <c r="AT878" s="38"/>
      <c r="AU878" s="38"/>
      <c r="AV878" s="38"/>
      <c r="AW878" s="38"/>
      <c r="AX878" s="38"/>
      <c r="AY878" s="38"/>
      <c r="AZ878" s="38"/>
      <c r="BA878" s="38"/>
      <c r="BB878" s="38"/>
      <c r="BC878" s="38"/>
      <c r="BD878" s="38"/>
      <c r="BE878" s="38"/>
      <c r="BF878" s="38"/>
      <c r="BG878" s="38"/>
      <c r="BH878" s="38"/>
      <c r="BI878" s="38"/>
      <c r="BJ878" s="38"/>
      <c r="BK878" s="38"/>
      <c r="BL878" s="38"/>
      <c r="BM878" s="38"/>
      <c r="BN878" s="38"/>
      <c r="BO878" s="38"/>
      <c r="BP878" s="38"/>
      <c r="BQ878" s="38"/>
      <c r="BR878" s="38"/>
    </row>
    <row r="879" spans="1:70">
      <c r="A879" s="38"/>
      <c r="B879" s="38"/>
      <c r="C879" s="43"/>
      <c r="D879" s="38"/>
      <c r="E879" s="38"/>
      <c r="F879" s="43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38"/>
      <c r="V879" s="38"/>
      <c r="W879" s="38"/>
      <c r="X879" s="38"/>
      <c r="Y879" s="38"/>
      <c r="Z879" s="38"/>
      <c r="AA879" s="38"/>
      <c r="AB879" s="38"/>
      <c r="AC879" s="38"/>
      <c r="AD879" s="38"/>
      <c r="AE879" s="38"/>
      <c r="AF879" s="38"/>
      <c r="AG879" s="38"/>
      <c r="AH879" s="38"/>
      <c r="AI879" s="38"/>
      <c r="AJ879" s="38"/>
      <c r="AK879" s="38"/>
      <c r="AL879" s="38"/>
      <c r="AM879" s="38"/>
      <c r="AN879" s="38"/>
      <c r="AO879" s="38"/>
      <c r="AP879" s="38"/>
      <c r="AQ879" s="38"/>
      <c r="AR879" s="38"/>
      <c r="AS879" s="38"/>
      <c r="AT879" s="38"/>
      <c r="AU879" s="38"/>
      <c r="AV879" s="38"/>
      <c r="AW879" s="38"/>
      <c r="AX879" s="38"/>
      <c r="AY879" s="38"/>
      <c r="AZ879" s="38"/>
      <c r="BA879" s="38"/>
      <c r="BB879" s="38"/>
      <c r="BC879" s="38"/>
      <c r="BD879" s="38"/>
      <c r="BE879" s="38"/>
      <c r="BF879" s="38"/>
      <c r="BG879" s="38"/>
      <c r="BH879" s="38"/>
      <c r="BI879" s="38"/>
      <c r="BJ879" s="38"/>
      <c r="BK879" s="38"/>
      <c r="BL879" s="38"/>
      <c r="BM879" s="38"/>
      <c r="BN879" s="38"/>
      <c r="BO879" s="38"/>
      <c r="BP879" s="38"/>
      <c r="BQ879" s="38"/>
      <c r="BR879" s="38"/>
    </row>
    <row r="880" spans="1:70">
      <c r="A880" s="38"/>
      <c r="B880" s="38"/>
      <c r="C880" s="43"/>
      <c r="D880" s="38"/>
      <c r="E880" s="38"/>
      <c r="F880" s="43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38"/>
      <c r="V880" s="38"/>
      <c r="W880" s="38"/>
      <c r="X880" s="38"/>
      <c r="Y880" s="38"/>
      <c r="Z880" s="38"/>
      <c r="AA880" s="38"/>
      <c r="AB880" s="38"/>
      <c r="AC880" s="38"/>
      <c r="AD880" s="38"/>
      <c r="AE880" s="38"/>
      <c r="AF880" s="38"/>
      <c r="AG880" s="38"/>
      <c r="AH880" s="38"/>
      <c r="AI880" s="38"/>
      <c r="AJ880" s="38"/>
      <c r="AK880" s="38"/>
      <c r="AL880" s="38"/>
      <c r="AM880" s="38"/>
      <c r="AN880" s="38"/>
      <c r="AO880" s="38"/>
      <c r="AP880" s="38"/>
      <c r="AQ880" s="38"/>
      <c r="AR880" s="38"/>
      <c r="AS880" s="38"/>
      <c r="AT880" s="38"/>
      <c r="AU880" s="38"/>
      <c r="AV880" s="38"/>
      <c r="AW880" s="38"/>
      <c r="AX880" s="38"/>
      <c r="AY880" s="38"/>
      <c r="AZ880" s="38"/>
      <c r="BA880" s="38"/>
      <c r="BB880" s="38"/>
      <c r="BC880" s="38"/>
      <c r="BD880" s="38"/>
      <c r="BE880" s="38"/>
      <c r="BF880" s="38"/>
      <c r="BG880" s="38"/>
      <c r="BH880" s="38"/>
      <c r="BI880" s="38"/>
      <c r="BJ880" s="38"/>
      <c r="BK880" s="38"/>
      <c r="BL880" s="38"/>
      <c r="BM880" s="38"/>
      <c r="BN880" s="38"/>
      <c r="BO880" s="38"/>
      <c r="BP880" s="38"/>
      <c r="BQ880" s="38"/>
      <c r="BR880" s="38"/>
    </row>
    <row r="881" spans="1:70">
      <c r="A881" s="38"/>
      <c r="B881" s="38"/>
      <c r="C881" s="43"/>
      <c r="D881" s="38"/>
      <c r="E881" s="38"/>
      <c r="F881" s="43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38"/>
      <c r="V881" s="38"/>
      <c r="W881" s="38"/>
      <c r="X881" s="38"/>
      <c r="Y881" s="38"/>
      <c r="Z881" s="38"/>
      <c r="AA881" s="38"/>
      <c r="AB881" s="38"/>
      <c r="AC881" s="38"/>
      <c r="AD881" s="38"/>
      <c r="AE881" s="38"/>
      <c r="AF881" s="38"/>
      <c r="AG881" s="38"/>
      <c r="AH881" s="38"/>
      <c r="AI881" s="38"/>
      <c r="AJ881" s="38"/>
      <c r="AK881" s="38"/>
      <c r="AL881" s="38"/>
      <c r="AM881" s="38"/>
      <c r="AN881" s="38"/>
      <c r="AO881" s="38"/>
      <c r="AP881" s="38"/>
      <c r="AQ881" s="38"/>
      <c r="AR881" s="38"/>
      <c r="AS881" s="38"/>
      <c r="AT881" s="38"/>
      <c r="AU881" s="38"/>
      <c r="AV881" s="38"/>
      <c r="AW881" s="38"/>
      <c r="AX881" s="38"/>
      <c r="AY881" s="38"/>
      <c r="AZ881" s="38"/>
      <c r="BA881" s="38"/>
      <c r="BB881" s="38"/>
      <c r="BC881" s="38"/>
      <c r="BD881" s="38"/>
      <c r="BE881" s="38"/>
      <c r="BF881" s="38"/>
      <c r="BG881" s="38"/>
      <c r="BH881" s="38"/>
      <c r="BI881" s="38"/>
      <c r="BJ881" s="38"/>
      <c r="BK881" s="38"/>
      <c r="BL881" s="38"/>
      <c r="BM881" s="38"/>
      <c r="BN881" s="38"/>
      <c r="BO881" s="38"/>
      <c r="BP881" s="38"/>
      <c r="BQ881" s="38"/>
      <c r="BR881" s="38"/>
    </row>
    <row r="882" spans="1:70">
      <c r="A882" s="38"/>
      <c r="B882" s="38"/>
      <c r="C882" s="43"/>
      <c r="D882" s="38"/>
      <c r="E882" s="38"/>
      <c r="F882" s="43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38"/>
      <c r="V882" s="38"/>
      <c r="W882" s="38"/>
      <c r="X882" s="38"/>
      <c r="Y882" s="38"/>
      <c r="Z882" s="38"/>
      <c r="AA882" s="38"/>
      <c r="AB882" s="38"/>
      <c r="AC882" s="38"/>
      <c r="AD882" s="38"/>
      <c r="AE882" s="38"/>
      <c r="AF882" s="38"/>
      <c r="AG882" s="38"/>
      <c r="AH882" s="38"/>
      <c r="AI882" s="38"/>
      <c r="AJ882" s="38"/>
      <c r="AK882" s="38"/>
      <c r="AL882" s="38"/>
      <c r="AM882" s="38"/>
      <c r="AN882" s="38"/>
      <c r="AO882" s="38"/>
      <c r="AP882" s="38"/>
      <c r="AQ882" s="38"/>
      <c r="AR882" s="38"/>
      <c r="AS882" s="38"/>
      <c r="AT882" s="38"/>
      <c r="AU882" s="38"/>
      <c r="AV882" s="38"/>
      <c r="AW882" s="38"/>
      <c r="AX882" s="38"/>
      <c r="AY882" s="38"/>
      <c r="AZ882" s="38"/>
      <c r="BA882" s="38"/>
      <c r="BB882" s="38"/>
      <c r="BC882" s="38"/>
      <c r="BD882" s="38"/>
      <c r="BE882" s="38"/>
      <c r="BF882" s="38"/>
      <c r="BG882" s="38"/>
      <c r="BH882" s="38"/>
      <c r="BI882" s="38"/>
      <c r="BJ882" s="38"/>
      <c r="BK882" s="38"/>
      <c r="BL882" s="38"/>
      <c r="BM882" s="38"/>
      <c r="BN882" s="38"/>
      <c r="BO882" s="38"/>
      <c r="BP882" s="38"/>
      <c r="BQ882" s="38"/>
      <c r="BR882" s="38"/>
    </row>
    <row r="883" spans="1:70">
      <c r="A883" s="38"/>
      <c r="B883" s="38"/>
      <c r="C883" s="43"/>
      <c r="D883" s="38"/>
      <c r="E883" s="38"/>
      <c r="F883" s="43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38"/>
      <c r="V883" s="38"/>
      <c r="W883" s="38"/>
      <c r="X883" s="38"/>
      <c r="Y883" s="38"/>
      <c r="Z883" s="38"/>
      <c r="AA883" s="38"/>
      <c r="AB883" s="38"/>
      <c r="AC883" s="38"/>
      <c r="AD883" s="38"/>
      <c r="AE883" s="38"/>
      <c r="AF883" s="38"/>
      <c r="AG883" s="38"/>
      <c r="AH883" s="38"/>
      <c r="AI883" s="38"/>
      <c r="AJ883" s="38"/>
      <c r="AK883" s="38"/>
      <c r="AL883" s="38"/>
      <c r="AM883" s="38"/>
      <c r="AN883" s="38"/>
      <c r="AO883" s="38"/>
      <c r="AP883" s="38"/>
      <c r="AQ883" s="38"/>
      <c r="AR883" s="38"/>
      <c r="AS883" s="38"/>
      <c r="AT883" s="38"/>
      <c r="AU883" s="38"/>
      <c r="AV883" s="38"/>
      <c r="AW883" s="38"/>
      <c r="AX883" s="38"/>
      <c r="AY883" s="38"/>
      <c r="AZ883" s="38"/>
      <c r="BA883" s="38"/>
      <c r="BB883" s="38"/>
      <c r="BC883" s="38"/>
      <c r="BD883" s="38"/>
      <c r="BE883" s="38"/>
      <c r="BF883" s="38"/>
      <c r="BG883" s="38"/>
      <c r="BH883" s="38"/>
      <c r="BI883" s="38"/>
      <c r="BJ883" s="38"/>
      <c r="BK883" s="38"/>
      <c r="BL883" s="38"/>
      <c r="BM883" s="38"/>
      <c r="BN883" s="38"/>
      <c r="BO883" s="38"/>
      <c r="BP883" s="38"/>
      <c r="BQ883" s="38"/>
      <c r="BR883" s="38"/>
    </row>
    <row r="884" spans="1:70">
      <c r="A884" s="38"/>
      <c r="B884" s="38"/>
      <c r="C884" s="43"/>
      <c r="D884" s="38"/>
      <c r="E884" s="38"/>
      <c r="F884" s="43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38"/>
      <c r="V884" s="38"/>
      <c r="W884" s="38"/>
      <c r="X884" s="38"/>
      <c r="Y884" s="38"/>
      <c r="Z884" s="38"/>
      <c r="AA884" s="38"/>
      <c r="AB884" s="38"/>
      <c r="AC884" s="38"/>
      <c r="AD884" s="38"/>
      <c r="AE884" s="38"/>
      <c r="AF884" s="38"/>
      <c r="AG884" s="38"/>
      <c r="AH884" s="38"/>
      <c r="AI884" s="38"/>
      <c r="AJ884" s="38"/>
      <c r="AK884" s="38"/>
      <c r="AL884" s="38"/>
      <c r="AM884" s="38"/>
      <c r="AN884" s="38"/>
      <c r="AO884" s="38"/>
      <c r="AP884" s="38"/>
      <c r="AQ884" s="38"/>
      <c r="AR884" s="38"/>
      <c r="AS884" s="38"/>
      <c r="AT884" s="38"/>
      <c r="AU884" s="38"/>
      <c r="AV884" s="38"/>
      <c r="AW884" s="38"/>
      <c r="AX884" s="38"/>
      <c r="AY884" s="38"/>
      <c r="AZ884" s="38"/>
      <c r="BA884" s="38"/>
      <c r="BB884" s="38"/>
      <c r="BC884" s="38"/>
      <c r="BD884" s="38"/>
      <c r="BE884" s="38"/>
      <c r="BF884" s="38"/>
      <c r="BG884" s="38"/>
      <c r="BH884" s="38"/>
      <c r="BI884" s="38"/>
      <c r="BJ884" s="38"/>
      <c r="BK884" s="38"/>
      <c r="BL884" s="38"/>
      <c r="BM884" s="38"/>
      <c r="BN884" s="38"/>
      <c r="BO884" s="38"/>
      <c r="BP884" s="38"/>
      <c r="BQ884" s="38"/>
      <c r="BR884" s="38"/>
    </row>
    <row r="885" spans="1:70">
      <c r="A885" s="38"/>
      <c r="B885" s="38"/>
      <c r="C885" s="43"/>
      <c r="D885" s="38"/>
      <c r="E885" s="38"/>
      <c r="F885" s="43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38"/>
      <c r="V885" s="38"/>
      <c r="W885" s="38"/>
      <c r="X885" s="38"/>
      <c r="Y885" s="38"/>
      <c r="Z885" s="38"/>
      <c r="AA885" s="38"/>
      <c r="AB885" s="38"/>
      <c r="AC885" s="38"/>
      <c r="AD885" s="38"/>
      <c r="AE885" s="38"/>
      <c r="AF885" s="38"/>
      <c r="AG885" s="38"/>
      <c r="AH885" s="38"/>
      <c r="AI885" s="38"/>
      <c r="AJ885" s="38"/>
      <c r="AK885" s="38"/>
      <c r="AL885" s="38"/>
      <c r="AM885" s="38"/>
      <c r="AN885" s="38"/>
      <c r="AO885" s="38"/>
      <c r="AP885" s="38"/>
      <c r="AQ885" s="38"/>
      <c r="AR885" s="38"/>
      <c r="AS885" s="38"/>
      <c r="AT885" s="38"/>
      <c r="AU885" s="38"/>
      <c r="AV885" s="38"/>
      <c r="AW885" s="38"/>
      <c r="AX885" s="38"/>
      <c r="AY885" s="38"/>
      <c r="AZ885" s="38"/>
      <c r="BA885" s="38"/>
      <c r="BB885" s="38"/>
      <c r="BC885" s="38"/>
      <c r="BD885" s="38"/>
      <c r="BE885" s="38"/>
      <c r="BF885" s="38"/>
      <c r="BG885" s="38"/>
      <c r="BH885" s="38"/>
      <c r="BI885" s="38"/>
      <c r="BJ885" s="38"/>
      <c r="BK885" s="38"/>
      <c r="BL885" s="38"/>
      <c r="BM885" s="38"/>
      <c r="BN885" s="38"/>
      <c r="BO885" s="38"/>
      <c r="BP885" s="38"/>
      <c r="BQ885" s="38"/>
      <c r="BR885" s="38"/>
    </row>
    <row r="886" spans="1:70">
      <c r="A886" s="38"/>
      <c r="B886" s="38"/>
      <c r="C886" s="43"/>
      <c r="D886" s="38"/>
      <c r="E886" s="38"/>
      <c r="F886" s="43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38"/>
      <c r="V886" s="38"/>
      <c r="W886" s="38"/>
      <c r="X886" s="38"/>
      <c r="Y886" s="38"/>
      <c r="Z886" s="38"/>
      <c r="AA886" s="38"/>
      <c r="AB886" s="38"/>
      <c r="AC886" s="38"/>
      <c r="AD886" s="38"/>
      <c r="AE886" s="38"/>
      <c r="AF886" s="38"/>
      <c r="AG886" s="38"/>
      <c r="AH886" s="38"/>
      <c r="AI886" s="38"/>
      <c r="AJ886" s="38"/>
      <c r="AK886" s="38"/>
      <c r="AL886" s="38"/>
      <c r="AM886" s="38"/>
      <c r="AN886" s="38"/>
      <c r="AO886" s="38"/>
      <c r="AP886" s="38"/>
      <c r="AQ886" s="38"/>
      <c r="AR886" s="38"/>
      <c r="AS886" s="38"/>
      <c r="AT886" s="38"/>
      <c r="AU886" s="38"/>
      <c r="AV886" s="38"/>
      <c r="AW886" s="38"/>
      <c r="AX886" s="38"/>
      <c r="AY886" s="38"/>
      <c r="AZ886" s="38"/>
      <c r="BA886" s="38"/>
      <c r="BB886" s="38"/>
      <c r="BC886" s="38"/>
      <c r="BD886" s="38"/>
      <c r="BE886" s="38"/>
      <c r="BF886" s="38"/>
      <c r="BG886" s="38"/>
      <c r="BH886" s="38"/>
      <c r="BI886" s="38"/>
      <c r="BJ886" s="38"/>
      <c r="BK886" s="38"/>
      <c r="BL886" s="38"/>
      <c r="BM886" s="38"/>
      <c r="BN886" s="38"/>
      <c r="BO886" s="38"/>
      <c r="BP886" s="38"/>
      <c r="BQ886" s="38"/>
      <c r="BR886" s="38"/>
    </row>
    <row r="887" spans="1:70">
      <c r="A887" s="38"/>
      <c r="B887" s="38"/>
      <c r="C887" s="43"/>
      <c r="D887" s="38"/>
      <c r="E887" s="38"/>
      <c r="F887" s="43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38"/>
      <c r="V887" s="38"/>
      <c r="W887" s="38"/>
      <c r="X887" s="38"/>
      <c r="Y887" s="38"/>
      <c r="Z887" s="38"/>
      <c r="AA887" s="38"/>
      <c r="AB887" s="38"/>
      <c r="AC887" s="38"/>
      <c r="AD887" s="38"/>
      <c r="AE887" s="38"/>
      <c r="AF887" s="38"/>
      <c r="AG887" s="38"/>
      <c r="AH887" s="38"/>
      <c r="AI887" s="38"/>
      <c r="AJ887" s="38"/>
      <c r="AK887" s="38"/>
      <c r="AL887" s="38"/>
      <c r="AM887" s="38"/>
      <c r="AN887" s="38"/>
      <c r="AO887" s="38"/>
      <c r="AP887" s="38"/>
      <c r="AQ887" s="38"/>
      <c r="AR887" s="38"/>
      <c r="AS887" s="38"/>
      <c r="AT887" s="38"/>
      <c r="AU887" s="38"/>
      <c r="AV887" s="38"/>
      <c r="AW887" s="38"/>
      <c r="AX887" s="38"/>
      <c r="AY887" s="38"/>
      <c r="AZ887" s="38"/>
      <c r="BA887" s="38"/>
      <c r="BB887" s="38"/>
      <c r="BC887" s="38"/>
      <c r="BD887" s="38"/>
      <c r="BE887" s="38"/>
      <c r="BF887" s="38"/>
      <c r="BG887" s="38"/>
      <c r="BH887" s="38"/>
      <c r="BI887" s="38"/>
      <c r="BJ887" s="38"/>
      <c r="BK887" s="38"/>
      <c r="BL887" s="38"/>
      <c r="BM887" s="38"/>
      <c r="BN887" s="38"/>
      <c r="BO887" s="38"/>
      <c r="BP887" s="38"/>
      <c r="BQ887" s="38"/>
      <c r="BR887" s="38"/>
    </row>
    <row r="888" spans="1:70">
      <c r="A888" s="38"/>
      <c r="B888" s="38"/>
      <c r="C888" s="43"/>
      <c r="D888" s="38"/>
      <c r="E888" s="38"/>
      <c r="F888" s="43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38"/>
      <c r="V888" s="38"/>
      <c r="W888" s="38"/>
      <c r="X888" s="38"/>
      <c r="Y888" s="38"/>
      <c r="Z888" s="38"/>
      <c r="AA888" s="38"/>
      <c r="AB888" s="38"/>
      <c r="AC888" s="38"/>
      <c r="AD888" s="38"/>
      <c r="AE888" s="38"/>
      <c r="AF888" s="38"/>
      <c r="AG888" s="38"/>
      <c r="AH888" s="38"/>
      <c r="AI888" s="38"/>
      <c r="AJ888" s="38"/>
      <c r="AK888" s="38"/>
      <c r="AL888" s="38"/>
      <c r="AM888" s="38"/>
      <c r="AN888" s="38"/>
      <c r="AO888" s="38"/>
      <c r="AP888" s="38"/>
      <c r="AQ888" s="38"/>
      <c r="AR888" s="38"/>
      <c r="AS888" s="38"/>
      <c r="AT888" s="38"/>
      <c r="AU888" s="38"/>
      <c r="AV888" s="38"/>
      <c r="AW888" s="38"/>
      <c r="AX888" s="38"/>
      <c r="AY888" s="38"/>
      <c r="AZ888" s="38"/>
      <c r="BA888" s="38"/>
      <c r="BB888" s="38"/>
      <c r="BC888" s="38"/>
      <c r="BD888" s="38"/>
      <c r="BE888" s="38"/>
      <c r="BF888" s="38"/>
      <c r="BG888" s="38"/>
      <c r="BH888" s="38"/>
      <c r="BI888" s="38"/>
      <c r="BJ888" s="38"/>
      <c r="BK888" s="38"/>
      <c r="BL888" s="38"/>
      <c r="BM888" s="38"/>
      <c r="BN888" s="38"/>
      <c r="BO888" s="38"/>
      <c r="BP888" s="38"/>
      <c r="BQ888" s="38"/>
      <c r="BR888" s="38"/>
    </row>
    <row r="889" spans="1:70">
      <c r="A889" s="38"/>
      <c r="B889" s="38"/>
      <c r="C889" s="43"/>
      <c r="D889" s="38"/>
      <c r="E889" s="38"/>
      <c r="F889" s="43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38"/>
      <c r="V889" s="38"/>
      <c r="W889" s="38"/>
      <c r="X889" s="38"/>
      <c r="Y889" s="38"/>
      <c r="Z889" s="38"/>
      <c r="AA889" s="38"/>
      <c r="AB889" s="38"/>
      <c r="AC889" s="38"/>
      <c r="AD889" s="38"/>
      <c r="AE889" s="38"/>
      <c r="AF889" s="38"/>
      <c r="AG889" s="38"/>
      <c r="AH889" s="38"/>
      <c r="AI889" s="38"/>
      <c r="AJ889" s="38"/>
      <c r="AK889" s="38"/>
      <c r="AL889" s="38"/>
      <c r="AM889" s="38"/>
      <c r="AN889" s="38"/>
      <c r="AO889" s="38"/>
      <c r="AP889" s="38"/>
      <c r="AQ889" s="38"/>
      <c r="AR889" s="38"/>
      <c r="AS889" s="38"/>
      <c r="AT889" s="38"/>
      <c r="AU889" s="38"/>
      <c r="AV889" s="38"/>
      <c r="AW889" s="38"/>
      <c r="AX889" s="38"/>
      <c r="AY889" s="38"/>
      <c r="AZ889" s="38"/>
      <c r="BA889" s="38"/>
      <c r="BB889" s="38"/>
      <c r="BC889" s="38"/>
      <c r="BD889" s="38"/>
      <c r="BE889" s="38"/>
      <c r="BF889" s="38"/>
      <c r="BG889" s="38"/>
      <c r="BH889" s="38"/>
      <c r="BI889" s="38"/>
      <c r="BJ889" s="38"/>
      <c r="BK889" s="38"/>
      <c r="BL889" s="38"/>
      <c r="BM889" s="38"/>
      <c r="BN889" s="38"/>
      <c r="BO889" s="38"/>
      <c r="BP889" s="38"/>
      <c r="BQ889" s="38"/>
      <c r="BR889" s="38"/>
    </row>
    <row r="890" spans="1:70">
      <c r="A890" s="38"/>
      <c r="B890" s="38"/>
      <c r="C890" s="43"/>
      <c r="D890" s="38"/>
      <c r="E890" s="38"/>
      <c r="F890" s="43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38"/>
      <c r="V890" s="38"/>
      <c r="W890" s="38"/>
      <c r="X890" s="38"/>
      <c r="Y890" s="38"/>
      <c r="Z890" s="38"/>
      <c r="AA890" s="38"/>
      <c r="AB890" s="38"/>
      <c r="AC890" s="38"/>
      <c r="AD890" s="38"/>
      <c r="AE890" s="38"/>
      <c r="AF890" s="38"/>
      <c r="AG890" s="38"/>
      <c r="AH890" s="38"/>
      <c r="AI890" s="38"/>
      <c r="AJ890" s="38"/>
      <c r="AK890" s="38"/>
      <c r="AL890" s="38"/>
      <c r="AM890" s="38"/>
      <c r="AN890" s="38"/>
      <c r="AO890" s="38"/>
      <c r="AP890" s="38"/>
      <c r="AQ890" s="38"/>
      <c r="AR890" s="38"/>
      <c r="AS890" s="38"/>
      <c r="AT890" s="38"/>
      <c r="AU890" s="38"/>
      <c r="AV890" s="38"/>
      <c r="AW890" s="38"/>
      <c r="AX890" s="38"/>
      <c r="AY890" s="38"/>
      <c r="AZ890" s="38"/>
      <c r="BA890" s="38"/>
      <c r="BB890" s="38"/>
      <c r="BC890" s="38"/>
      <c r="BD890" s="38"/>
      <c r="BE890" s="38"/>
      <c r="BF890" s="38"/>
      <c r="BG890" s="38"/>
      <c r="BH890" s="38"/>
      <c r="BI890" s="38"/>
      <c r="BJ890" s="38"/>
      <c r="BK890" s="38"/>
      <c r="BL890" s="38"/>
      <c r="BM890" s="38"/>
      <c r="BN890" s="38"/>
      <c r="BO890" s="38"/>
      <c r="BP890" s="38"/>
      <c r="BQ890" s="38"/>
      <c r="BR890" s="38"/>
    </row>
    <row r="891" spans="1:70">
      <c r="A891" s="38"/>
      <c r="B891" s="38"/>
      <c r="C891" s="43"/>
      <c r="D891" s="38"/>
      <c r="E891" s="38"/>
      <c r="F891" s="43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38"/>
      <c r="V891" s="38"/>
      <c r="W891" s="38"/>
      <c r="X891" s="38"/>
      <c r="Y891" s="38"/>
      <c r="Z891" s="38"/>
      <c r="AA891" s="38"/>
      <c r="AB891" s="38"/>
      <c r="AC891" s="38"/>
      <c r="AD891" s="38"/>
      <c r="AE891" s="38"/>
      <c r="AF891" s="38"/>
      <c r="AG891" s="38"/>
      <c r="AH891" s="38"/>
      <c r="AI891" s="38"/>
      <c r="AJ891" s="38"/>
      <c r="AK891" s="38"/>
      <c r="AL891" s="38"/>
      <c r="AM891" s="38"/>
      <c r="AN891" s="38"/>
      <c r="AO891" s="38"/>
      <c r="AP891" s="38"/>
      <c r="AQ891" s="38"/>
      <c r="AR891" s="38"/>
      <c r="AS891" s="38"/>
      <c r="AT891" s="38"/>
      <c r="AU891" s="38"/>
      <c r="AV891" s="38"/>
      <c r="AW891" s="38"/>
      <c r="AX891" s="38"/>
      <c r="AY891" s="38"/>
      <c r="AZ891" s="38"/>
      <c r="BA891" s="38"/>
      <c r="BB891" s="38"/>
      <c r="BC891" s="38"/>
      <c r="BD891" s="38"/>
      <c r="BE891" s="38"/>
      <c r="BF891" s="38"/>
      <c r="BG891" s="38"/>
      <c r="BH891" s="38"/>
      <c r="BI891" s="38"/>
      <c r="BJ891" s="38"/>
      <c r="BK891" s="38"/>
      <c r="BL891" s="38"/>
      <c r="BM891" s="38"/>
      <c r="BN891" s="38"/>
      <c r="BO891" s="38"/>
      <c r="BP891" s="38"/>
      <c r="BQ891" s="38"/>
      <c r="BR891" s="38"/>
    </row>
    <row r="892" spans="1:70">
      <c r="A892" s="38"/>
      <c r="B892" s="38"/>
      <c r="C892" s="43"/>
      <c r="D892" s="38"/>
      <c r="E892" s="38"/>
      <c r="F892" s="43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38"/>
      <c r="V892" s="38"/>
      <c r="W892" s="38"/>
      <c r="X892" s="38"/>
      <c r="Y892" s="38"/>
      <c r="Z892" s="38"/>
      <c r="AA892" s="38"/>
      <c r="AB892" s="38"/>
      <c r="AC892" s="38"/>
      <c r="AD892" s="38"/>
      <c r="AE892" s="38"/>
      <c r="AF892" s="38"/>
      <c r="AG892" s="38"/>
      <c r="AH892" s="38"/>
      <c r="AI892" s="38"/>
      <c r="AJ892" s="38"/>
      <c r="AK892" s="38"/>
      <c r="AL892" s="38"/>
      <c r="AM892" s="38"/>
      <c r="AN892" s="38"/>
      <c r="AO892" s="38"/>
      <c r="AP892" s="38"/>
      <c r="AQ892" s="38"/>
      <c r="AR892" s="38"/>
      <c r="AS892" s="38"/>
      <c r="AT892" s="38"/>
      <c r="AU892" s="38"/>
      <c r="AV892" s="38"/>
      <c r="AW892" s="38"/>
      <c r="AX892" s="38"/>
      <c r="AY892" s="38"/>
      <c r="AZ892" s="38"/>
      <c r="BA892" s="38"/>
      <c r="BB892" s="38"/>
      <c r="BC892" s="38"/>
      <c r="BD892" s="38"/>
      <c r="BE892" s="38"/>
      <c r="BF892" s="38"/>
      <c r="BG892" s="38"/>
      <c r="BH892" s="38"/>
      <c r="BI892" s="38"/>
      <c r="BJ892" s="38"/>
      <c r="BK892" s="38"/>
      <c r="BL892" s="38"/>
      <c r="BM892" s="38"/>
      <c r="BN892" s="38"/>
      <c r="BO892" s="38"/>
      <c r="BP892" s="38"/>
      <c r="BQ892" s="38"/>
      <c r="BR892" s="38"/>
    </row>
    <row r="893" spans="1:70">
      <c r="A893" s="38"/>
      <c r="B893" s="38"/>
      <c r="C893" s="43"/>
      <c r="D893" s="38"/>
      <c r="E893" s="38"/>
      <c r="F893" s="43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38"/>
      <c r="V893" s="38"/>
      <c r="W893" s="38"/>
      <c r="X893" s="38"/>
      <c r="Y893" s="38"/>
      <c r="Z893" s="38"/>
      <c r="AA893" s="38"/>
      <c r="AB893" s="38"/>
      <c r="AC893" s="38"/>
      <c r="AD893" s="38"/>
      <c r="AE893" s="38"/>
      <c r="AF893" s="38"/>
      <c r="AG893" s="38"/>
      <c r="AH893" s="38"/>
      <c r="AI893" s="38"/>
      <c r="AJ893" s="38"/>
      <c r="AK893" s="38"/>
      <c r="AL893" s="38"/>
      <c r="AM893" s="38"/>
      <c r="AN893" s="38"/>
      <c r="AO893" s="38"/>
      <c r="AP893" s="38"/>
      <c r="AQ893" s="38"/>
      <c r="AR893" s="38"/>
      <c r="AS893" s="38"/>
      <c r="AT893" s="38"/>
      <c r="AU893" s="38"/>
      <c r="AV893" s="38"/>
      <c r="AW893" s="38"/>
      <c r="AX893" s="38"/>
      <c r="AY893" s="38"/>
      <c r="AZ893" s="38"/>
      <c r="BA893" s="38"/>
      <c r="BB893" s="38"/>
      <c r="BC893" s="38"/>
      <c r="BD893" s="38"/>
      <c r="BE893" s="38"/>
      <c r="BF893" s="38"/>
      <c r="BG893" s="38"/>
      <c r="BH893" s="38"/>
      <c r="BI893" s="38"/>
      <c r="BJ893" s="38"/>
      <c r="BK893" s="38"/>
      <c r="BL893" s="38"/>
      <c r="BM893" s="38"/>
      <c r="BN893" s="38"/>
      <c r="BO893" s="38"/>
      <c r="BP893" s="38"/>
      <c r="BQ893" s="38"/>
      <c r="BR893" s="38"/>
    </row>
    <row r="894" spans="1:70">
      <c r="A894" s="38"/>
      <c r="B894" s="38"/>
      <c r="C894" s="43"/>
      <c r="D894" s="38"/>
      <c r="E894" s="38"/>
      <c r="F894" s="43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38"/>
      <c r="V894" s="38"/>
      <c r="W894" s="38"/>
      <c r="X894" s="38"/>
      <c r="Y894" s="38"/>
      <c r="Z894" s="38"/>
      <c r="AA894" s="38"/>
      <c r="AB894" s="38"/>
      <c r="AC894" s="38"/>
      <c r="AD894" s="38"/>
      <c r="AE894" s="38"/>
      <c r="AF894" s="38"/>
      <c r="AG894" s="38"/>
      <c r="AH894" s="38"/>
      <c r="AI894" s="38"/>
      <c r="AJ894" s="38"/>
      <c r="AK894" s="38"/>
      <c r="AL894" s="38"/>
      <c r="AM894" s="38"/>
      <c r="AN894" s="38"/>
      <c r="AO894" s="38"/>
      <c r="AP894" s="38"/>
      <c r="AQ894" s="38"/>
      <c r="AR894" s="38"/>
      <c r="AS894" s="38"/>
      <c r="AT894" s="38"/>
      <c r="AU894" s="38"/>
      <c r="AV894" s="38"/>
      <c r="AW894" s="38"/>
      <c r="AX894" s="38"/>
      <c r="AY894" s="38"/>
      <c r="AZ894" s="38"/>
      <c r="BA894" s="38"/>
      <c r="BB894" s="38"/>
      <c r="BC894" s="38"/>
      <c r="BD894" s="38"/>
      <c r="BE894" s="38"/>
      <c r="BF894" s="38"/>
      <c r="BG894" s="38"/>
      <c r="BH894" s="38"/>
      <c r="BI894" s="38"/>
      <c r="BJ894" s="38"/>
      <c r="BK894" s="38"/>
      <c r="BL894" s="38"/>
      <c r="BM894" s="38"/>
      <c r="BN894" s="38"/>
      <c r="BO894" s="38"/>
      <c r="BP894" s="38"/>
      <c r="BQ894" s="38"/>
      <c r="BR894" s="38"/>
    </row>
    <row r="895" spans="1:70">
      <c r="A895" s="38"/>
      <c r="B895" s="38"/>
      <c r="C895" s="43"/>
      <c r="D895" s="38"/>
      <c r="E895" s="38"/>
      <c r="F895" s="43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38"/>
      <c r="V895" s="38"/>
      <c r="W895" s="38"/>
      <c r="X895" s="38"/>
      <c r="Y895" s="38"/>
      <c r="Z895" s="38"/>
      <c r="AA895" s="38"/>
      <c r="AB895" s="38"/>
      <c r="AC895" s="38"/>
      <c r="AD895" s="38"/>
      <c r="AE895" s="38"/>
      <c r="AF895" s="38"/>
      <c r="AG895" s="38"/>
      <c r="AH895" s="38"/>
      <c r="AI895" s="38"/>
      <c r="AJ895" s="38"/>
      <c r="AK895" s="38"/>
      <c r="AL895" s="38"/>
      <c r="AM895" s="38"/>
      <c r="AN895" s="38"/>
      <c r="AO895" s="38"/>
      <c r="AP895" s="38"/>
      <c r="AQ895" s="38"/>
      <c r="AR895" s="38"/>
      <c r="AS895" s="38"/>
      <c r="AT895" s="38"/>
      <c r="AU895" s="38"/>
      <c r="AV895" s="38"/>
      <c r="AW895" s="38"/>
      <c r="AX895" s="38"/>
      <c r="AY895" s="38"/>
      <c r="AZ895" s="38"/>
      <c r="BA895" s="38"/>
      <c r="BB895" s="38"/>
      <c r="BC895" s="38"/>
      <c r="BD895" s="38"/>
      <c r="BE895" s="38"/>
      <c r="BF895" s="38"/>
      <c r="BG895" s="38"/>
      <c r="BH895" s="38"/>
      <c r="BI895" s="38"/>
      <c r="BJ895" s="38"/>
      <c r="BK895" s="38"/>
      <c r="BL895" s="38"/>
      <c r="BM895" s="38"/>
      <c r="BN895" s="38"/>
      <c r="BO895" s="38"/>
      <c r="BP895" s="38"/>
      <c r="BQ895" s="38"/>
      <c r="BR895" s="38"/>
    </row>
    <row r="896" spans="1:70">
      <c r="A896" s="38"/>
      <c r="B896" s="38"/>
      <c r="C896" s="43"/>
      <c r="D896" s="38"/>
      <c r="E896" s="38"/>
      <c r="F896" s="43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38"/>
      <c r="V896" s="38"/>
      <c r="W896" s="38"/>
      <c r="X896" s="38"/>
      <c r="Y896" s="38"/>
      <c r="Z896" s="38"/>
      <c r="AA896" s="38"/>
      <c r="AB896" s="38"/>
      <c r="AC896" s="38"/>
      <c r="AD896" s="38"/>
      <c r="AE896" s="38"/>
      <c r="AF896" s="38"/>
      <c r="AG896" s="38"/>
      <c r="AH896" s="38"/>
      <c r="AI896" s="38"/>
      <c r="AJ896" s="38"/>
      <c r="AK896" s="38"/>
      <c r="AL896" s="38"/>
      <c r="AM896" s="38"/>
      <c r="AN896" s="38"/>
      <c r="AO896" s="38"/>
      <c r="AP896" s="38"/>
      <c r="AQ896" s="38"/>
      <c r="AR896" s="38"/>
      <c r="AS896" s="38"/>
      <c r="AT896" s="38"/>
      <c r="AU896" s="38"/>
      <c r="AV896" s="38"/>
      <c r="AW896" s="38"/>
      <c r="AX896" s="38"/>
      <c r="AY896" s="38"/>
      <c r="AZ896" s="38"/>
      <c r="BA896" s="38"/>
      <c r="BB896" s="38"/>
      <c r="BC896" s="38"/>
      <c r="BD896" s="38"/>
      <c r="BE896" s="38"/>
      <c r="BF896" s="38"/>
      <c r="BG896" s="38"/>
      <c r="BH896" s="38"/>
      <c r="BI896" s="38"/>
      <c r="BJ896" s="38"/>
      <c r="BK896" s="38"/>
      <c r="BL896" s="38"/>
      <c r="BM896" s="38"/>
      <c r="BN896" s="38"/>
      <c r="BO896" s="38"/>
      <c r="BP896" s="38"/>
      <c r="BQ896" s="38"/>
      <c r="BR896" s="38"/>
    </row>
    <row r="897" spans="1:70">
      <c r="A897" s="38"/>
      <c r="B897" s="38"/>
      <c r="C897" s="43"/>
      <c r="D897" s="38"/>
      <c r="E897" s="38"/>
      <c r="F897" s="43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38"/>
      <c r="V897" s="38"/>
      <c r="W897" s="38"/>
      <c r="X897" s="38"/>
      <c r="Y897" s="38"/>
      <c r="Z897" s="38"/>
      <c r="AA897" s="38"/>
      <c r="AB897" s="38"/>
      <c r="AC897" s="38"/>
      <c r="AD897" s="38"/>
      <c r="AE897" s="38"/>
      <c r="AF897" s="38"/>
      <c r="AG897" s="38"/>
      <c r="AH897" s="38"/>
      <c r="AI897" s="38"/>
      <c r="AJ897" s="38"/>
      <c r="AK897" s="38"/>
      <c r="AL897" s="38"/>
      <c r="AM897" s="38"/>
      <c r="AN897" s="38"/>
      <c r="AO897" s="38"/>
      <c r="AP897" s="38"/>
      <c r="AQ897" s="38"/>
      <c r="AR897" s="38"/>
      <c r="AS897" s="38"/>
      <c r="AT897" s="38"/>
      <c r="AU897" s="38"/>
      <c r="AV897" s="38"/>
      <c r="AW897" s="38"/>
      <c r="AX897" s="38"/>
      <c r="AY897" s="38"/>
      <c r="AZ897" s="38"/>
      <c r="BA897" s="38"/>
      <c r="BB897" s="38"/>
      <c r="BC897" s="38"/>
      <c r="BD897" s="38"/>
      <c r="BE897" s="38"/>
      <c r="BF897" s="38"/>
      <c r="BG897" s="38"/>
      <c r="BH897" s="38"/>
      <c r="BI897" s="38"/>
      <c r="BJ897" s="38"/>
      <c r="BK897" s="38"/>
      <c r="BL897" s="38"/>
      <c r="BM897" s="38"/>
      <c r="BN897" s="38"/>
      <c r="BO897" s="38"/>
      <c r="BP897" s="38"/>
      <c r="BQ897" s="38"/>
      <c r="BR897" s="38"/>
    </row>
    <row r="898" spans="1:70">
      <c r="A898" s="38"/>
      <c r="B898" s="38"/>
      <c r="C898" s="43"/>
      <c r="D898" s="38"/>
      <c r="E898" s="38"/>
      <c r="F898" s="43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38"/>
      <c r="V898" s="38"/>
      <c r="W898" s="38"/>
      <c r="X898" s="38"/>
      <c r="Y898" s="38"/>
      <c r="Z898" s="38"/>
      <c r="AA898" s="38"/>
      <c r="AB898" s="38"/>
      <c r="AC898" s="38"/>
      <c r="AD898" s="38"/>
      <c r="AE898" s="38"/>
      <c r="AF898" s="38"/>
      <c r="AG898" s="38"/>
      <c r="AH898" s="38"/>
      <c r="AI898" s="38"/>
      <c r="AJ898" s="38"/>
      <c r="AK898" s="38"/>
      <c r="AL898" s="38"/>
      <c r="AM898" s="38"/>
      <c r="AN898" s="38"/>
      <c r="AO898" s="38"/>
      <c r="AP898" s="38"/>
      <c r="AQ898" s="38"/>
      <c r="AR898" s="38"/>
      <c r="AS898" s="38"/>
      <c r="AT898" s="38"/>
      <c r="AU898" s="38"/>
      <c r="AV898" s="38"/>
      <c r="AW898" s="38"/>
      <c r="AX898" s="38"/>
      <c r="AY898" s="38"/>
      <c r="AZ898" s="38"/>
      <c r="BA898" s="38"/>
      <c r="BB898" s="38"/>
      <c r="BC898" s="38"/>
      <c r="BD898" s="38"/>
      <c r="BE898" s="38"/>
      <c r="BF898" s="38"/>
      <c r="BG898" s="38"/>
      <c r="BH898" s="38"/>
      <c r="BI898" s="38"/>
      <c r="BJ898" s="38"/>
      <c r="BK898" s="38"/>
      <c r="BL898" s="38"/>
      <c r="BM898" s="38"/>
      <c r="BN898" s="38"/>
      <c r="BO898" s="38"/>
      <c r="BP898" s="38"/>
      <c r="BQ898" s="38"/>
      <c r="BR898" s="38"/>
    </row>
    <row r="899" spans="1:70">
      <c r="A899" s="38"/>
      <c r="B899" s="38"/>
      <c r="C899" s="43"/>
      <c r="D899" s="38"/>
      <c r="E899" s="38"/>
      <c r="F899" s="43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38"/>
      <c r="V899" s="38"/>
      <c r="W899" s="38"/>
      <c r="X899" s="38"/>
      <c r="Y899" s="38"/>
      <c r="Z899" s="38"/>
      <c r="AA899" s="38"/>
      <c r="AB899" s="38"/>
      <c r="AC899" s="38"/>
      <c r="AD899" s="38"/>
      <c r="AE899" s="38"/>
      <c r="AF899" s="38"/>
      <c r="AG899" s="38"/>
      <c r="AH899" s="38"/>
      <c r="AI899" s="38"/>
      <c r="AJ899" s="38"/>
      <c r="AK899" s="38"/>
      <c r="AL899" s="38"/>
      <c r="AM899" s="38"/>
      <c r="AN899" s="38"/>
      <c r="AO899" s="38"/>
      <c r="AP899" s="38"/>
      <c r="AQ899" s="38"/>
      <c r="AR899" s="38"/>
      <c r="AS899" s="38"/>
      <c r="AT899" s="38"/>
      <c r="AU899" s="38"/>
      <c r="AV899" s="38"/>
      <c r="AW899" s="38"/>
      <c r="AX899" s="38"/>
      <c r="AY899" s="38"/>
      <c r="AZ899" s="38"/>
      <c r="BA899" s="38"/>
      <c r="BB899" s="38"/>
      <c r="BC899" s="38"/>
      <c r="BD899" s="38"/>
      <c r="BE899" s="38"/>
      <c r="BF899" s="38"/>
      <c r="BG899" s="38"/>
      <c r="BH899" s="38"/>
      <c r="BI899" s="38"/>
      <c r="BJ899" s="38"/>
      <c r="BK899" s="38"/>
      <c r="BL899" s="38"/>
      <c r="BM899" s="38"/>
      <c r="BN899" s="38"/>
      <c r="BO899" s="38"/>
      <c r="BP899" s="38"/>
      <c r="BQ899" s="38"/>
      <c r="BR899" s="38"/>
    </row>
    <row r="900" spans="1:70">
      <c r="A900" s="38"/>
      <c r="B900" s="38"/>
      <c r="C900" s="43"/>
      <c r="D900" s="38"/>
      <c r="E900" s="38"/>
      <c r="F900" s="43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38"/>
      <c r="V900" s="38"/>
      <c r="W900" s="38"/>
      <c r="X900" s="38"/>
      <c r="Y900" s="38"/>
      <c r="Z900" s="38"/>
      <c r="AA900" s="38"/>
      <c r="AB900" s="38"/>
      <c r="AC900" s="38"/>
      <c r="AD900" s="38"/>
      <c r="AE900" s="38"/>
      <c r="AF900" s="38"/>
      <c r="AG900" s="38"/>
      <c r="AH900" s="38"/>
      <c r="AI900" s="38"/>
      <c r="AJ900" s="38"/>
      <c r="AK900" s="38"/>
      <c r="AL900" s="38"/>
      <c r="AM900" s="38"/>
      <c r="AN900" s="38"/>
      <c r="AO900" s="38"/>
      <c r="AP900" s="38"/>
      <c r="AQ900" s="38"/>
      <c r="AR900" s="38"/>
      <c r="AS900" s="38"/>
      <c r="AT900" s="38"/>
      <c r="AU900" s="38"/>
      <c r="AV900" s="38"/>
      <c r="AW900" s="38"/>
      <c r="AX900" s="38"/>
      <c r="AY900" s="38"/>
      <c r="AZ900" s="38"/>
      <c r="BA900" s="38"/>
      <c r="BB900" s="38"/>
      <c r="BC900" s="38"/>
      <c r="BD900" s="38"/>
      <c r="BE900" s="38"/>
      <c r="BF900" s="38"/>
      <c r="BG900" s="38"/>
      <c r="BH900" s="38"/>
      <c r="BI900" s="38"/>
      <c r="BJ900" s="38"/>
      <c r="BK900" s="38"/>
      <c r="BL900" s="38"/>
      <c r="BM900" s="38"/>
      <c r="BN900" s="38"/>
      <c r="BO900" s="38"/>
      <c r="BP900" s="38"/>
      <c r="BQ900" s="38"/>
      <c r="BR900" s="38"/>
    </row>
    <row r="901" spans="1:70">
      <c r="A901" s="38"/>
      <c r="B901" s="38"/>
      <c r="C901" s="43"/>
      <c r="D901" s="38"/>
      <c r="E901" s="38"/>
      <c r="F901" s="43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38"/>
      <c r="V901" s="38"/>
      <c r="W901" s="38"/>
      <c r="X901" s="38"/>
      <c r="Y901" s="38"/>
      <c r="Z901" s="38"/>
      <c r="AA901" s="38"/>
      <c r="AB901" s="38"/>
      <c r="AC901" s="38"/>
      <c r="AD901" s="38"/>
      <c r="AE901" s="38"/>
      <c r="AF901" s="38"/>
      <c r="AG901" s="38"/>
      <c r="AH901" s="38"/>
      <c r="AI901" s="38"/>
      <c r="AJ901" s="38"/>
      <c r="AK901" s="38"/>
      <c r="AL901" s="38"/>
      <c r="AM901" s="38"/>
      <c r="AN901" s="38"/>
      <c r="AO901" s="38"/>
      <c r="AP901" s="38"/>
      <c r="AQ901" s="38"/>
      <c r="AR901" s="38"/>
      <c r="AS901" s="38"/>
      <c r="AT901" s="38"/>
      <c r="AU901" s="38"/>
      <c r="AV901" s="38"/>
      <c r="AW901" s="38"/>
      <c r="AX901" s="38"/>
      <c r="AY901" s="38"/>
      <c r="AZ901" s="38"/>
      <c r="BA901" s="38"/>
      <c r="BB901" s="38"/>
      <c r="BC901" s="38"/>
      <c r="BD901" s="38"/>
      <c r="BE901" s="38"/>
      <c r="BF901" s="38"/>
      <c r="BG901" s="38"/>
      <c r="BH901" s="38"/>
      <c r="BI901" s="38"/>
      <c r="BJ901" s="38"/>
      <c r="BK901" s="38"/>
      <c r="BL901" s="38"/>
      <c r="BM901" s="38"/>
      <c r="BN901" s="38"/>
      <c r="BO901" s="38"/>
      <c r="BP901" s="38"/>
      <c r="BQ901" s="38"/>
      <c r="BR901" s="38"/>
    </row>
    <row r="902" spans="1:70">
      <c r="A902" s="38"/>
      <c r="B902" s="38"/>
      <c r="C902" s="43"/>
      <c r="D902" s="38"/>
      <c r="E902" s="38"/>
      <c r="F902" s="43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38"/>
      <c r="V902" s="38"/>
      <c r="W902" s="38"/>
      <c r="X902" s="38"/>
      <c r="Y902" s="38"/>
      <c r="Z902" s="38"/>
      <c r="AA902" s="38"/>
      <c r="AB902" s="38"/>
      <c r="AC902" s="38"/>
      <c r="AD902" s="38"/>
      <c r="AE902" s="38"/>
      <c r="AF902" s="38"/>
      <c r="AG902" s="38"/>
      <c r="AH902" s="38"/>
      <c r="AI902" s="38"/>
      <c r="AJ902" s="38"/>
      <c r="AK902" s="38"/>
      <c r="AL902" s="38"/>
      <c r="AM902" s="38"/>
      <c r="AN902" s="38"/>
      <c r="AO902" s="38"/>
      <c r="AP902" s="38"/>
      <c r="AQ902" s="38"/>
      <c r="AR902" s="38"/>
      <c r="AS902" s="38"/>
      <c r="AT902" s="38"/>
      <c r="AU902" s="38"/>
      <c r="AV902" s="38"/>
      <c r="AW902" s="38"/>
      <c r="AX902" s="38"/>
      <c r="AY902" s="38"/>
      <c r="AZ902" s="38"/>
      <c r="BA902" s="38"/>
      <c r="BB902" s="38"/>
      <c r="BC902" s="38"/>
      <c r="BD902" s="38"/>
      <c r="BE902" s="38"/>
      <c r="BF902" s="38"/>
      <c r="BG902" s="38"/>
      <c r="BH902" s="38"/>
      <c r="BI902" s="38"/>
      <c r="BJ902" s="38"/>
      <c r="BK902" s="38"/>
      <c r="BL902" s="38"/>
      <c r="BM902" s="38"/>
      <c r="BN902" s="38"/>
      <c r="BO902" s="38"/>
      <c r="BP902" s="38"/>
      <c r="BQ902" s="38"/>
      <c r="BR902" s="38"/>
    </row>
    <row r="903" spans="1:70">
      <c r="A903" s="38"/>
      <c r="B903" s="38"/>
      <c r="C903" s="43"/>
      <c r="D903" s="38"/>
      <c r="E903" s="38"/>
      <c r="F903" s="43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38"/>
      <c r="V903" s="38"/>
      <c r="W903" s="38"/>
      <c r="X903" s="38"/>
      <c r="Y903" s="38"/>
      <c r="Z903" s="38"/>
      <c r="AA903" s="38"/>
      <c r="AB903" s="38"/>
      <c r="AC903" s="38"/>
      <c r="AD903" s="38"/>
      <c r="AE903" s="38"/>
      <c r="AF903" s="38"/>
      <c r="AG903" s="38"/>
      <c r="AH903" s="38"/>
      <c r="AI903" s="38"/>
      <c r="AJ903" s="38"/>
      <c r="AK903" s="38"/>
      <c r="AL903" s="38"/>
      <c r="AM903" s="38"/>
      <c r="AN903" s="38"/>
      <c r="AO903" s="38"/>
      <c r="AP903" s="38"/>
      <c r="AQ903" s="38"/>
      <c r="AR903" s="38"/>
      <c r="AS903" s="38"/>
      <c r="AT903" s="38"/>
      <c r="AU903" s="38"/>
      <c r="AV903" s="38"/>
      <c r="AW903" s="38"/>
      <c r="AX903" s="38"/>
      <c r="AY903" s="38"/>
      <c r="AZ903" s="38"/>
      <c r="BA903" s="38"/>
      <c r="BB903" s="38"/>
      <c r="BC903" s="38"/>
      <c r="BD903" s="38"/>
      <c r="BE903" s="38"/>
      <c r="BF903" s="38"/>
      <c r="BG903" s="38"/>
      <c r="BH903" s="38"/>
      <c r="BI903" s="38"/>
      <c r="BJ903" s="38"/>
      <c r="BK903" s="38"/>
      <c r="BL903" s="38"/>
      <c r="BM903" s="38"/>
      <c r="BN903" s="38"/>
      <c r="BO903" s="38"/>
      <c r="BP903" s="38"/>
      <c r="BQ903" s="38"/>
      <c r="BR903" s="38"/>
    </row>
    <row r="904" spans="1:70">
      <c r="A904" s="38"/>
      <c r="B904" s="38"/>
      <c r="C904" s="43"/>
      <c r="D904" s="38"/>
      <c r="E904" s="38"/>
      <c r="F904" s="43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38"/>
      <c r="V904" s="38"/>
      <c r="W904" s="38"/>
      <c r="X904" s="38"/>
      <c r="Y904" s="38"/>
      <c r="Z904" s="38"/>
      <c r="AA904" s="38"/>
      <c r="AB904" s="38"/>
      <c r="AC904" s="38"/>
      <c r="AD904" s="38"/>
      <c r="AE904" s="38"/>
      <c r="AF904" s="38"/>
      <c r="AG904" s="38"/>
      <c r="AH904" s="38"/>
      <c r="AI904" s="38"/>
      <c r="AJ904" s="38"/>
      <c r="AK904" s="38"/>
      <c r="AL904" s="38"/>
      <c r="AM904" s="38"/>
      <c r="AN904" s="38"/>
      <c r="AO904" s="38"/>
      <c r="AP904" s="38"/>
      <c r="AQ904" s="38"/>
      <c r="AR904" s="38"/>
      <c r="AS904" s="38"/>
      <c r="AT904" s="38"/>
      <c r="AU904" s="38"/>
      <c r="AV904" s="38"/>
      <c r="AW904" s="38"/>
      <c r="AX904" s="38"/>
      <c r="AY904" s="38"/>
      <c r="AZ904" s="38"/>
      <c r="BA904" s="38"/>
      <c r="BB904" s="38"/>
      <c r="BC904" s="38"/>
      <c r="BD904" s="38"/>
      <c r="BE904" s="38"/>
      <c r="BF904" s="38"/>
      <c r="BG904" s="38"/>
      <c r="BH904" s="38"/>
      <c r="BI904" s="38"/>
      <c r="BJ904" s="38"/>
      <c r="BK904" s="38"/>
      <c r="BL904" s="38"/>
      <c r="BM904" s="38"/>
      <c r="BN904" s="38"/>
      <c r="BO904" s="38"/>
      <c r="BP904" s="38"/>
      <c r="BQ904" s="38"/>
      <c r="BR904" s="38"/>
    </row>
    <row r="905" spans="1:70">
      <c r="A905" s="38"/>
      <c r="B905" s="38"/>
      <c r="C905" s="43"/>
      <c r="D905" s="38"/>
      <c r="E905" s="38"/>
      <c r="F905" s="43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38"/>
      <c r="V905" s="38"/>
      <c r="W905" s="38"/>
      <c r="X905" s="38"/>
      <c r="Y905" s="38"/>
      <c r="Z905" s="38"/>
      <c r="AA905" s="38"/>
      <c r="AB905" s="38"/>
      <c r="AC905" s="38"/>
      <c r="AD905" s="38"/>
      <c r="AE905" s="38"/>
      <c r="AF905" s="38"/>
      <c r="AG905" s="38"/>
      <c r="AH905" s="38"/>
      <c r="AI905" s="38"/>
      <c r="AJ905" s="38"/>
      <c r="AK905" s="38"/>
      <c r="AL905" s="38"/>
      <c r="AM905" s="38"/>
      <c r="AN905" s="38"/>
      <c r="AO905" s="38"/>
      <c r="AP905" s="38"/>
      <c r="AQ905" s="38"/>
      <c r="AR905" s="38"/>
      <c r="AS905" s="38"/>
      <c r="AT905" s="38"/>
      <c r="AU905" s="38"/>
      <c r="AV905" s="38"/>
      <c r="AW905" s="38"/>
      <c r="AX905" s="38"/>
      <c r="AY905" s="38"/>
      <c r="AZ905" s="38"/>
      <c r="BA905" s="38"/>
      <c r="BB905" s="38"/>
      <c r="BC905" s="38"/>
      <c r="BD905" s="38"/>
      <c r="BE905" s="38"/>
      <c r="BF905" s="38"/>
      <c r="BG905" s="38"/>
      <c r="BH905" s="38"/>
      <c r="BI905" s="38"/>
      <c r="BJ905" s="38"/>
      <c r="BK905" s="38"/>
      <c r="BL905" s="38"/>
      <c r="BM905" s="38"/>
      <c r="BN905" s="38"/>
      <c r="BO905" s="38"/>
      <c r="BP905" s="38"/>
      <c r="BQ905" s="38"/>
      <c r="BR905" s="38"/>
    </row>
    <row r="906" spans="1:70">
      <c r="A906" s="38"/>
      <c r="B906" s="38"/>
      <c r="C906" s="43"/>
      <c r="D906" s="38"/>
      <c r="E906" s="38"/>
      <c r="F906" s="43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38"/>
      <c r="V906" s="38"/>
      <c r="W906" s="38"/>
      <c r="X906" s="38"/>
      <c r="Y906" s="38"/>
      <c r="Z906" s="38"/>
      <c r="AA906" s="38"/>
      <c r="AB906" s="38"/>
      <c r="AC906" s="38"/>
      <c r="AD906" s="38"/>
      <c r="AE906" s="38"/>
      <c r="AF906" s="38"/>
      <c r="AG906" s="38"/>
      <c r="AH906" s="38"/>
      <c r="AI906" s="38"/>
      <c r="AJ906" s="38"/>
      <c r="AK906" s="38"/>
      <c r="AL906" s="38"/>
      <c r="AM906" s="38"/>
      <c r="AN906" s="38"/>
      <c r="AO906" s="38"/>
      <c r="AP906" s="38"/>
      <c r="AQ906" s="38"/>
      <c r="AR906" s="38"/>
      <c r="AS906" s="38"/>
      <c r="AT906" s="38"/>
      <c r="AU906" s="38"/>
      <c r="AV906" s="38"/>
      <c r="AW906" s="38"/>
      <c r="AX906" s="38"/>
      <c r="AY906" s="38"/>
      <c r="AZ906" s="38"/>
      <c r="BA906" s="38"/>
      <c r="BB906" s="38"/>
      <c r="BC906" s="38"/>
      <c r="BD906" s="38"/>
      <c r="BE906" s="38"/>
      <c r="BF906" s="38"/>
      <c r="BG906" s="38"/>
      <c r="BH906" s="38"/>
      <c r="BI906" s="38"/>
      <c r="BJ906" s="38"/>
      <c r="BK906" s="38"/>
      <c r="BL906" s="38"/>
      <c r="BM906" s="38"/>
      <c r="BN906" s="38"/>
      <c r="BO906" s="38"/>
      <c r="BP906" s="38"/>
      <c r="BQ906" s="38"/>
      <c r="BR906" s="38"/>
    </row>
    <row r="907" spans="1:70">
      <c r="A907" s="38"/>
      <c r="B907" s="38"/>
      <c r="C907" s="43"/>
      <c r="D907" s="38"/>
      <c r="E907" s="38"/>
      <c r="F907" s="43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38"/>
      <c r="V907" s="38"/>
      <c r="W907" s="38"/>
      <c r="X907" s="38"/>
      <c r="Y907" s="38"/>
      <c r="Z907" s="38"/>
      <c r="AA907" s="38"/>
      <c r="AB907" s="38"/>
      <c r="AC907" s="38"/>
      <c r="AD907" s="38"/>
      <c r="AE907" s="38"/>
      <c r="AF907" s="38"/>
      <c r="AG907" s="38"/>
      <c r="AH907" s="38"/>
      <c r="AI907" s="38"/>
      <c r="AJ907" s="38"/>
      <c r="AK907" s="38"/>
      <c r="AL907" s="38"/>
      <c r="AM907" s="38"/>
      <c r="AN907" s="38"/>
      <c r="AO907" s="38"/>
      <c r="AP907" s="38"/>
      <c r="AQ907" s="38"/>
      <c r="AR907" s="38"/>
      <c r="AS907" s="38"/>
      <c r="AT907" s="38"/>
      <c r="AU907" s="38"/>
      <c r="AV907" s="38"/>
      <c r="AW907" s="38"/>
      <c r="AX907" s="38"/>
      <c r="AY907" s="38"/>
      <c r="AZ907" s="38"/>
      <c r="BA907" s="38"/>
      <c r="BB907" s="38"/>
      <c r="BC907" s="38"/>
      <c r="BD907" s="38"/>
      <c r="BE907" s="38"/>
      <c r="BF907" s="38"/>
      <c r="BG907" s="38"/>
      <c r="BH907" s="38"/>
      <c r="BI907" s="38"/>
      <c r="BJ907" s="38"/>
      <c r="BK907" s="38"/>
      <c r="BL907" s="38"/>
      <c r="BM907" s="38"/>
      <c r="BN907" s="38"/>
      <c r="BO907" s="38"/>
      <c r="BP907" s="38"/>
      <c r="BQ907" s="38"/>
      <c r="BR907" s="38"/>
    </row>
    <row r="908" spans="1:70">
      <c r="A908" s="38"/>
      <c r="B908" s="38"/>
      <c r="C908" s="43"/>
      <c r="D908" s="38"/>
      <c r="E908" s="38"/>
      <c r="F908" s="43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38"/>
      <c r="V908" s="38"/>
      <c r="W908" s="38"/>
      <c r="X908" s="38"/>
      <c r="Y908" s="38"/>
      <c r="Z908" s="38"/>
      <c r="AA908" s="38"/>
      <c r="AB908" s="38"/>
      <c r="AC908" s="38"/>
      <c r="AD908" s="38"/>
      <c r="AE908" s="38"/>
      <c r="AF908" s="38"/>
      <c r="AG908" s="38"/>
      <c r="AH908" s="38"/>
      <c r="AI908" s="38"/>
      <c r="AJ908" s="38"/>
      <c r="AK908" s="38"/>
      <c r="AL908" s="38"/>
      <c r="AM908" s="38"/>
      <c r="AN908" s="38"/>
      <c r="AO908" s="38"/>
      <c r="AP908" s="38"/>
      <c r="AQ908" s="38"/>
      <c r="AR908" s="38"/>
      <c r="AS908" s="38"/>
      <c r="AT908" s="38"/>
      <c r="AU908" s="38"/>
      <c r="AV908" s="38"/>
      <c r="AW908" s="38"/>
      <c r="AX908" s="38"/>
      <c r="AY908" s="38"/>
      <c r="AZ908" s="38"/>
      <c r="BA908" s="38"/>
      <c r="BB908" s="38"/>
      <c r="BC908" s="38"/>
      <c r="BD908" s="38"/>
      <c r="BE908" s="38"/>
      <c r="BF908" s="38"/>
      <c r="BG908" s="38"/>
      <c r="BH908" s="38"/>
      <c r="BI908" s="38"/>
      <c r="BJ908" s="38"/>
      <c r="BK908" s="38"/>
      <c r="BL908" s="38"/>
      <c r="BM908" s="38"/>
      <c r="BN908" s="38"/>
      <c r="BO908" s="38"/>
      <c r="BP908" s="38"/>
      <c r="BQ908" s="38"/>
      <c r="BR908" s="38"/>
    </row>
    <row r="909" spans="1:70">
      <c r="A909" s="38"/>
      <c r="B909" s="38"/>
      <c r="C909" s="43"/>
      <c r="D909" s="38"/>
      <c r="E909" s="38"/>
      <c r="F909" s="43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38"/>
      <c r="V909" s="38"/>
      <c r="W909" s="38"/>
      <c r="X909" s="38"/>
      <c r="Y909" s="38"/>
      <c r="Z909" s="38"/>
      <c r="AA909" s="38"/>
      <c r="AB909" s="38"/>
      <c r="AC909" s="38"/>
      <c r="AD909" s="38"/>
      <c r="AE909" s="38"/>
      <c r="AF909" s="38"/>
      <c r="AG909" s="38"/>
      <c r="AH909" s="38"/>
      <c r="AI909" s="38"/>
      <c r="AJ909" s="38"/>
      <c r="AK909" s="38"/>
      <c r="AL909" s="38"/>
      <c r="AM909" s="38"/>
      <c r="AN909" s="38"/>
      <c r="AO909" s="38"/>
      <c r="AP909" s="38"/>
      <c r="AQ909" s="38"/>
      <c r="AR909" s="38"/>
      <c r="AS909" s="38"/>
      <c r="AT909" s="38"/>
      <c r="AU909" s="38"/>
      <c r="AV909" s="38"/>
      <c r="AW909" s="38"/>
      <c r="AX909" s="38"/>
      <c r="AY909" s="38"/>
      <c r="AZ909" s="38"/>
      <c r="BA909" s="38"/>
      <c r="BB909" s="38"/>
      <c r="BC909" s="38"/>
      <c r="BD909" s="38"/>
      <c r="BE909" s="38"/>
      <c r="BF909" s="38"/>
      <c r="BG909" s="38"/>
      <c r="BH909" s="38"/>
      <c r="BI909" s="38"/>
      <c r="BJ909" s="38"/>
      <c r="BK909" s="38"/>
      <c r="BL909" s="38"/>
      <c r="BM909" s="38"/>
      <c r="BN909" s="38"/>
      <c r="BO909" s="38"/>
      <c r="BP909" s="38"/>
      <c r="BQ909" s="38"/>
      <c r="BR909" s="38"/>
    </row>
    <row r="910" spans="1:70">
      <c r="A910" s="38"/>
      <c r="B910" s="38"/>
      <c r="C910" s="43"/>
      <c r="D910" s="38"/>
      <c r="E910" s="38"/>
      <c r="F910" s="43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38"/>
      <c r="V910" s="38"/>
      <c r="W910" s="38"/>
      <c r="X910" s="38"/>
      <c r="Y910" s="38"/>
      <c r="Z910" s="38"/>
      <c r="AA910" s="38"/>
      <c r="AB910" s="38"/>
      <c r="AC910" s="38"/>
      <c r="AD910" s="38"/>
      <c r="AE910" s="38"/>
      <c r="AF910" s="38"/>
      <c r="AG910" s="38"/>
      <c r="AH910" s="38"/>
      <c r="AI910" s="38"/>
      <c r="AJ910" s="38"/>
      <c r="AK910" s="38"/>
      <c r="AL910" s="38"/>
      <c r="AM910" s="38"/>
      <c r="AN910" s="38"/>
      <c r="AO910" s="38"/>
      <c r="AP910" s="38"/>
      <c r="AQ910" s="38"/>
      <c r="AR910" s="38"/>
      <c r="AS910" s="38"/>
      <c r="AT910" s="38"/>
      <c r="AU910" s="38"/>
      <c r="AV910" s="38"/>
      <c r="AW910" s="38"/>
      <c r="AX910" s="38"/>
      <c r="AY910" s="38"/>
      <c r="AZ910" s="38"/>
      <c r="BA910" s="38"/>
      <c r="BB910" s="38"/>
      <c r="BC910" s="38"/>
      <c r="BD910" s="38"/>
      <c r="BE910" s="38"/>
      <c r="BF910" s="38"/>
      <c r="BG910" s="38"/>
      <c r="BH910" s="38"/>
      <c r="BI910" s="38"/>
      <c r="BJ910" s="38"/>
      <c r="BK910" s="38"/>
      <c r="BL910" s="38"/>
      <c r="BM910" s="38"/>
      <c r="BN910" s="38"/>
      <c r="BO910" s="38"/>
      <c r="BP910" s="38"/>
      <c r="BQ910" s="38"/>
      <c r="BR910" s="38"/>
    </row>
    <row r="911" spans="1:70">
      <c r="A911" s="38"/>
      <c r="B911" s="38"/>
      <c r="C911" s="43"/>
      <c r="D911" s="38"/>
      <c r="E911" s="38"/>
      <c r="F911" s="43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38"/>
      <c r="V911" s="38"/>
      <c r="W911" s="38"/>
      <c r="X911" s="38"/>
      <c r="Y911" s="38"/>
      <c r="Z911" s="38"/>
      <c r="AA911" s="38"/>
      <c r="AB911" s="38"/>
      <c r="AC911" s="38"/>
      <c r="AD911" s="38"/>
      <c r="AE911" s="38"/>
      <c r="AF911" s="38"/>
      <c r="AG911" s="38"/>
      <c r="AH911" s="38"/>
      <c r="AI911" s="38"/>
      <c r="AJ911" s="38"/>
      <c r="AK911" s="38"/>
      <c r="AL911" s="38"/>
      <c r="AM911" s="38"/>
      <c r="AN911" s="38"/>
      <c r="AO911" s="38"/>
      <c r="AP911" s="38"/>
      <c r="AQ911" s="38"/>
      <c r="AR911" s="38"/>
      <c r="AS911" s="38"/>
      <c r="AT911" s="38"/>
      <c r="AU911" s="38"/>
      <c r="AV911" s="38"/>
      <c r="AW911" s="38"/>
      <c r="AX911" s="38"/>
      <c r="AY911" s="38"/>
      <c r="AZ911" s="38"/>
      <c r="BA911" s="38"/>
      <c r="BB911" s="38"/>
      <c r="BC911" s="38"/>
      <c r="BD911" s="38"/>
      <c r="BE911" s="38"/>
      <c r="BF911" s="38"/>
      <c r="BG911" s="38"/>
      <c r="BH911" s="38"/>
      <c r="BI911" s="38"/>
      <c r="BJ911" s="38"/>
      <c r="BK911" s="38"/>
      <c r="BL911" s="38"/>
      <c r="BM911" s="38"/>
      <c r="BN911" s="38"/>
      <c r="BO911" s="38"/>
      <c r="BP911" s="38"/>
      <c r="BQ911" s="38"/>
      <c r="BR911" s="38"/>
    </row>
    <row r="912" spans="1:70">
      <c r="A912" s="38"/>
      <c r="B912" s="38"/>
      <c r="C912" s="43"/>
      <c r="D912" s="38"/>
      <c r="E912" s="38"/>
      <c r="F912" s="43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38"/>
      <c r="V912" s="38"/>
      <c r="W912" s="38"/>
      <c r="X912" s="38"/>
      <c r="Y912" s="38"/>
      <c r="Z912" s="38"/>
      <c r="AA912" s="38"/>
      <c r="AB912" s="38"/>
      <c r="AC912" s="38"/>
      <c r="AD912" s="38"/>
      <c r="AE912" s="38"/>
      <c r="AF912" s="38"/>
      <c r="AG912" s="38"/>
      <c r="AH912" s="38"/>
      <c r="AI912" s="38"/>
      <c r="AJ912" s="38"/>
      <c r="AK912" s="38"/>
      <c r="AL912" s="38"/>
      <c r="AM912" s="38"/>
      <c r="AN912" s="38"/>
      <c r="AO912" s="38"/>
      <c r="AP912" s="38"/>
      <c r="AQ912" s="38"/>
      <c r="AR912" s="38"/>
      <c r="AS912" s="38"/>
      <c r="AT912" s="38"/>
      <c r="AU912" s="38"/>
      <c r="AV912" s="38"/>
      <c r="AW912" s="38"/>
      <c r="AX912" s="38"/>
      <c r="AY912" s="38"/>
      <c r="AZ912" s="38"/>
      <c r="BA912" s="38"/>
      <c r="BB912" s="38"/>
      <c r="BC912" s="38"/>
      <c r="BD912" s="38"/>
      <c r="BE912" s="38"/>
      <c r="BF912" s="38"/>
      <c r="BG912" s="38"/>
      <c r="BH912" s="38"/>
      <c r="BI912" s="38"/>
      <c r="BJ912" s="38"/>
      <c r="BK912" s="38"/>
      <c r="BL912" s="38"/>
      <c r="BM912" s="38"/>
      <c r="BN912" s="38"/>
      <c r="BO912" s="38"/>
      <c r="BP912" s="38"/>
      <c r="BQ912" s="38"/>
      <c r="BR912" s="38"/>
    </row>
    <row r="913" spans="1:70">
      <c r="A913" s="38"/>
      <c r="B913" s="38"/>
      <c r="C913" s="43"/>
      <c r="D913" s="38"/>
      <c r="E913" s="38"/>
      <c r="F913" s="43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38"/>
      <c r="V913" s="38"/>
      <c r="W913" s="38"/>
      <c r="X913" s="38"/>
      <c r="Y913" s="38"/>
      <c r="Z913" s="38"/>
      <c r="AA913" s="38"/>
      <c r="AB913" s="38"/>
      <c r="AC913" s="38"/>
      <c r="AD913" s="38"/>
      <c r="AE913" s="38"/>
      <c r="AF913" s="38"/>
      <c r="AG913" s="38"/>
      <c r="AH913" s="38"/>
      <c r="AI913" s="38"/>
      <c r="AJ913" s="38"/>
      <c r="AK913" s="38"/>
      <c r="AL913" s="38"/>
      <c r="AM913" s="38"/>
      <c r="AN913" s="38"/>
      <c r="AO913" s="38"/>
      <c r="AP913" s="38"/>
      <c r="AQ913" s="38"/>
      <c r="AR913" s="38"/>
      <c r="AS913" s="38"/>
      <c r="AT913" s="38"/>
      <c r="AU913" s="38"/>
      <c r="AV913" s="38"/>
      <c r="AW913" s="38"/>
      <c r="AX913" s="38"/>
      <c r="AY913" s="38"/>
      <c r="AZ913" s="38"/>
      <c r="BA913" s="38"/>
      <c r="BB913" s="38"/>
      <c r="BC913" s="38"/>
      <c r="BD913" s="38"/>
      <c r="BE913" s="38"/>
      <c r="BF913" s="38"/>
      <c r="BG913" s="38"/>
      <c r="BH913" s="38"/>
      <c r="BI913" s="38"/>
      <c r="BJ913" s="38"/>
      <c r="BK913" s="38"/>
      <c r="BL913" s="38"/>
      <c r="BM913" s="38"/>
      <c r="BN913" s="38"/>
      <c r="BO913" s="38"/>
      <c r="BP913" s="38"/>
      <c r="BQ913" s="38"/>
      <c r="BR913" s="38"/>
    </row>
    <row r="914" spans="1:70">
      <c r="A914" s="38"/>
      <c r="B914" s="38"/>
      <c r="C914" s="43"/>
      <c r="D914" s="38"/>
      <c r="E914" s="38"/>
      <c r="F914" s="43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38"/>
      <c r="V914" s="38"/>
      <c r="W914" s="38"/>
      <c r="X914" s="38"/>
      <c r="Y914" s="38"/>
      <c r="Z914" s="38"/>
      <c r="AA914" s="38"/>
      <c r="AB914" s="38"/>
      <c r="AC914" s="38"/>
      <c r="AD914" s="38"/>
      <c r="AE914" s="38"/>
      <c r="AF914" s="38"/>
      <c r="AG914" s="38"/>
      <c r="AH914" s="38"/>
      <c r="AI914" s="38"/>
      <c r="AJ914" s="38"/>
      <c r="AK914" s="38"/>
      <c r="AL914" s="38"/>
      <c r="AM914" s="38"/>
      <c r="AN914" s="38"/>
      <c r="AO914" s="38"/>
      <c r="AP914" s="38"/>
      <c r="AQ914" s="38"/>
      <c r="AR914" s="38"/>
      <c r="AS914" s="38"/>
      <c r="AT914" s="38"/>
      <c r="AU914" s="38"/>
      <c r="AV914" s="38"/>
      <c r="AW914" s="38"/>
      <c r="AX914" s="38"/>
      <c r="AY914" s="38"/>
      <c r="AZ914" s="38"/>
      <c r="BA914" s="38"/>
      <c r="BB914" s="38"/>
      <c r="BC914" s="38"/>
      <c r="BD914" s="38"/>
      <c r="BE914" s="38"/>
      <c r="BF914" s="38"/>
      <c r="BG914" s="38"/>
      <c r="BH914" s="38"/>
      <c r="BI914" s="38"/>
      <c r="BJ914" s="38"/>
      <c r="BK914" s="38"/>
      <c r="BL914" s="38"/>
      <c r="BM914" s="38"/>
      <c r="BN914" s="38"/>
      <c r="BO914" s="38"/>
      <c r="BP914" s="38"/>
      <c r="BQ914" s="38"/>
      <c r="BR914" s="38"/>
    </row>
    <row r="915" spans="1:70">
      <c r="A915" s="38"/>
      <c r="B915" s="38"/>
      <c r="C915" s="43"/>
      <c r="D915" s="38"/>
      <c r="E915" s="38"/>
      <c r="F915" s="43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38"/>
      <c r="V915" s="38"/>
      <c r="W915" s="38"/>
      <c r="X915" s="38"/>
      <c r="Y915" s="38"/>
      <c r="Z915" s="38"/>
      <c r="AA915" s="38"/>
      <c r="AB915" s="38"/>
      <c r="AC915" s="38"/>
      <c r="AD915" s="38"/>
      <c r="AE915" s="38"/>
      <c r="AF915" s="38"/>
      <c r="AG915" s="38"/>
      <c r="AH915" s="38"/>
      <c r="AI915" s="38"/>
      <c r="AJ915" s="38"/>
      <c r="AK915" s="38"/>
      <c r="AL915" s="38"/>
      <c r="AM915" s="38"/>
      <c r="AN915" s="38"/>
      <c r="AO915" s="38"/>
      <c r="AP915" s="38"/>
      <c r="AQ915" s="38"/>
      <c r="AR915" s="38"/>
      <c r="AS915" s="38"/>
      <c r="AT915" s="38"/>
      <c r="AU915" s="38"/>
      <c r="AV915" s="38"/>
      <c r="AW915" s="38"/>
      <c r="AX915" s="38"/>
      <c r="AY915" s="38"/>
      <c r="AZ915" s="38"/>
      <c r="BA915" s="38"/>
      <c r="BB915" s="38"/>
      <c r="BC915" s="38"/>
      <c r="BD915" s="38"/>
      <c r="BE915" s="38"/>
      <c r="BF915" s="38"/>
      <c r="BG915" s="38"/>
      <c r="BH915" s="38"/>
      <c r="BI915" s="38"/>
      <c r="BJ915" s="38"/>
      <c r="BK915" s="38"/>
      <c r="BL915" s="38"/>
      <c r="BM915" s="38"/>
      <c r="BN915" s="38"/>
      <c r="BO915" s="38"/>
      <c r="BP915" s="38"/>
      <c r="BQ915" s="38"/>
      <c r="BR915" s="38"/>
    </row>
    <row r="916" spans="1:70">
      <c r="A916" s="38"/>
      <c r="B916" s="38"/>
      <c r="C916" s="43"/>
      <c r="D916" s="38"/>
      <c r="E916" s="38"/>
      <c r="F916" s="43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38"/>
      <c r="V916" s="38"/>
      <c r="W916" s="38"/>
      <c r="X916" s="38"/>
      <c r="Y916" s="38"/>
      <c r="Z916" s="38"/>
      <c r="AA916" s="38"/>
      <c r="AB916" s="38"/>
      <c r="AC916" s="38"/>
      <c r="AD916" s="38"/>
      <c r="AE916" s="38"/>
      <c r="AF916" s="38"/>
      <c r="AG916" s="38"/>
      <c r="AH916" s="38"/>
      <c r="AI916" s="38"/>
      <c r="AJ916" s="38"/>
      <c r="AK916" s="38"/>
      <c r="AL916" s="38"/>
      <c r="AM916" s="38"/>
      <c r="AN916" s="38"/>
      <c r="AO916" s="38"/>
      <c r="AP916" s="38"/>
      <c r="AQ916" s="38"/>
      <c r="AR916" s="38"/>
      <c r="AS916" s="38"/>
      <c r="AT916" s="38"/>
      <c r="AU916" s="38"/>
      <c r="AV916" s="38"/>
      <c r="AW916" s="38"/>
      <c r="AX916" s="38"/>
      <c r="AY916" s="38"/>
      <c r="AZ916" s="38"/>
      <c r="BA916" s="38"/>
      <c r="BB916" s="38"/>
      <c r="BC916" s="38"/>
      <c r="BD916" s="38"/>
      <c r="BE916" s="38"/>
      <c r="BF916" s="38"/>
      <c r="BG916" s="38"/>
      <c r="BH916" s="38"/>
      <c r="BI916" s="38"/>
      <c r="BJ916" s="38"/>
      <c r="BK916" s="38"/>
      <c r="BL916" s="38"/>
      <c r="BM916" s="38"/>
      <c r="BN916" s="38"/>
      <c r="BO916" s="38"/>
      <c r="BP916" s="38"/>
      <c r="BQ916" s="38"/>
      <c r="BR916" s="38"/>
    </row>
    <row r="917" spans="1:70">
      <c r="A917" s="38"/>
      <c r="B917" s="38"/>
      <c r="C917" s="43"/>
      <c r="D917" s="38"/>
      <c r="E917" s="38"/>
      <c r="F917" s="43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38"/>
      <c r="V917" s="38"/>
      <c r="W917" s="38"/>
      <c r="X917" s="38"/>
      <c r="Y917" s="38"/>
      <c r="Z917" s="38"/>
      <c r="AA917" s="38"/>
      <c r="AB917" s="38"/>
      <c r="AC917" s="38"/>
      <c r="AD917" s="38"/>
      <c r="AE917" s="38"/>
      <c r="AF917" s="38"/>
      <c r="AG917" s="38"/>
      <c r="AH917" s="38"/>
      <c r="AI917" s="38"/>
      <c r="AJ917" s="38"/>
      <c r="AK917" s="38"/>
      <c r="AL917" s="38"/>
      <c r="AM917" s="38"/>
      <c r="AN917" s="38"/>
      <c r="AO917" s="38"/>
      <c r="AP917" s="38"/>
      <c r="AQ917" s="38"/>
      <c r="AR917" s="38"/>
      <c r="AS917" s="38"/>
      <c r="AT917" s="38"/>
      <c r="AU917" s="38"/>
      <c r="AV917" s="38"/>
      <c r="AW917" s="38"/>
      <c r="AX917" s="38"/>
      <c r="AY917" s="38"/>
      <c r="AZ917" s="38"/>
      <c r="BA917" s="38"/>
      <c r="BB917" s="38"/>
      <c r="BC917" s="38"/>
      <c r="BD917" s="38"/>
      <c r="BE917" s="38"/>
      <c r="BF917" s="38"/>
      <c r="BG917" s="38"/>
      <c r="BH917" s="38"/>
      <c r="BI917" s="38"/>
      <c r="BJ917" s="38"/>
      <c r="BK917" s="38"/>
      <c r="BL917" s="38"/>
      <c r="BM917" s="38"/>
      <c r="BN917" s="38"/>
      <c r="BO917" s="38"/>
      <c r="BP917" s="38"/>
      <c r="BQ917" s="38"/>
      <c r="BR917" s="38"/>
    </row>
    <row r="918" spans="1:70">
      <c r="A918" s="38"/>
      <c r="B918" s="38"/>
      <c r="C918" s="43"/>
      <c r="D918" s="38"/>
      <c r="E918" s="38"/>
      <c r="F918" s="43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38"/>
      <c r="V918" s="38"/>
      <c r="W918" s="38"/>
      <c r="X918" s="38"/>
      <c r="Y918" s="38"/>
      <c r="Z918" s="38"/>
      <c r="AA918" s="38"/>
      <c r="AB918" s="38"/>
      <c r="AC918" s="38"/>
      <c r="AD918" s="38"/>
      <c r="AE918" s="38"/>
      <c r="AF918" s="38"/>
      <c r="AG918" s="38"/>
      <c r="AH918" s="38"/>
      <c r="AI918" s="38"/>
      <c r="AJ918" s="38"/>
      <c r="AK918" s="38"/>
      <c r="AL918" s="38"/>
      <c r="AM918" s="38"/>
      <c r="AN918" s="38"/>
      <c r="AO918" s="38"/>
      <c r="AP918" s="38"/>
      <c r="AQ918" s="38"/>
      <c r="AR918" s="38"/>
      <c r="AS918" s="38"/>
      <c r="AT918" s="38"/>
      <c r="AU918" s="38"/>
      <c r="AV918" s="38"/>
      <c r="AW918" s="38"/>
      <c r="AX918" s="38"/>
      <c r="AY918" s="38"/>
      <c r="AZ918" s="38"/>
      <c r="BA918" s="38"/>
      <c r="BB918" s="38"/>
      <c r="BC918" s="38"/>
      <c r="BD918" s="38"/>
      <c r="BE918" s="38"/>
      <c r="BF918" s="38"/>
      <c r="BG918" s="38"/>
      <c r="BH918" s="38"/>
      <c r="BI918" s="38"/>
      <c r="BJ918" s="38"/>
      <c r="BK918" s="38"/>
      <c r="BL918" s="38"/>
      <c r="BM918" s="38"/>
      <c r="BN918" s="38"/>
      <c r="BO918" s="38"/>
      <c r="BP918" s="38"/>
      <c r="BQ918" s="38"/>
      <c r="BR918" s="38"/>
    </row>
    <row r="919" spans="1:70">
      <c r="A919" s="38"/>
      <c r="B919" s="38"/>
      <c r="C919" s="43"/>
      <c r="D919" s="38"/>
      <c r="E919" s="38"/>
      <c r="F919" s="43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38"/>
      <c r="V919" s="38"/>
      <c r="W919" s="38"/>
      <c r="X919" s="38"/>
      <c r="Y919" s="38"/>
      <c r="Z919" s="38"/>
      <c r="AA919" s="38"/>
      <c r="AB919" s="38"/>
      <c r="AC919" s="38"/>
      <c r="AD919" s="38"/>
      <c r="AE919" s="38"/>
      <c r="AF919" s="38"/>
      <c r="AG919" s="38"/>
      <c r="AH919" s="38"/>
      <c r="AI919" s="38"/>
      <c r="AJ919" s="38"/>
      <c r="AK919" s="38"/>
      <c r="AL919" s="38"/>
      <c r="AM919" s="38"/>
      <c r="AN919" s="38"/>
      <c r="AO919" s="38"/>
      <c r="AP919" s="38"/>
      <c r="AQ919" s="38"/>
      <c r="AR919" s="38"/>
      <c r="AS919" s="38"/>
      <c r="AT919" s="38"/>
      <c r="AU919" s="38"/>
      <c r="AV919" s="38"/>
      <c r="AW919" s="38"/>
      <c r="AX919" s="38"/>
      <c r="AY919" s="38"/>
      <c r="AZ919" s="38"/>
      <c r="BA919" s="38"/>
      <c r="BB919" s="38"/>
      <c r="BC919" s="38"/>
      <c r="BD919" s="38"/>
      <c r="BE919" s="38"/>
      <c r="BF919" s="38"/>
      <c r="BG919" s="38"/>
      <c r="BH919" s="38"/>
      <c r="BI919" s="38"/>
      <c r="BJ919" s="38"/>
      <c r="BK919" s="38"/>
      <c r="BL919" s="38"/>
      <c r="BM919" s="38"/>
      <c r="BN919" s="38"/>
      <c r="BO919" s="38"/>
      <c r="BP919" s="38"/>
      <c r="BQ919" s="38"/>
      <c r="BR919" s="38"/>
    </row>
    <row r="920" spans="1:70">
      <c r="A920" s="38"/>
      <c r="B920" s="38"/>
      <c r="C920" s="43"/>
      <c r="D920" s="38"/>
      <c r="E920" s="38"/>
      <c r="F920" s="43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38"/>
      <c r="V920" s="38"/>
      <c r="W920" s="38"/>
      <c r="X920" s="38"/>
      <c r="Y920" s="38"/>
      <c r="Z920" s="38"/>
      <c r="AA920" s="38"/>
      <c r="AB920" s="38"/>
      <c r="AC920" s="38"/>
      <c r="AD920" s="38"/>
      <c r="AE920" s="38"/>
      <c r="AF920" s="38"/>
      <c r="AG920" s="38"/>
      <c r="AH920" s="38"/>
      <c r="AI920" s="38"/>
      <c r="AJ920" s="38"/>
      <c r="AK920" s="38"/>
      <c r="AL920" s="38"/>
      <c r="AM920" s="38"/>
      <c r="AN920" s="38"/>
      <c r="AO920" s="38"/>
      <c r="AP920" s="38"/>
      <c r="AQ920" s="38"/>
      <c r="AR920" s="38"/>
      <c r="AS920" s="38"/>
      <c r="AT920" s="38"/>
      <c r="AU920" s="38"/>
      <c r="AV920" s="38"/>
      <c r="AW920" s="38"/>
      <c r="AX920" s="38"/>
      <c r="AY920" s="38"/>
      <c r="AZ920" s="38"/>
      <c r="BA920" s="38"/>
      <c r="BB920" s="38"/>
      <c r="BC920" s="38"/>
      <c r="BD920" s="38"/>
      <c r="BE920" s="38"/>
      <c r="BF920" s="38"/>
      <c r="BG920" s="38"/>
      <c r="BH920" s="38"/>
      <c r="BI920" s="38"/>
      <c r="BJ920" s="38"/>
      <c r="BK920" s="38"/>
      <c r="BL920" s="38"/>
      <c r="BM920" s="38"/>
      <c r="BN920" s="38"/>
      <c r="BO920" s="38"/>
      <c r="BP920" s="38"/>
      <c r="BQ920" s="38"/>
      <c r="BR920" s="38"/>
    </row>
    <row r="921" spans="1:70">
      <c r="A921" s="38"/>
      <c r="B921" s="38"/>
      <c r="C921" s="43"/>
      <c r="D921" s="38"/>
      <c r="E921" s="38"/>
      <c r="F921" s="43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38"/>
      <c r="V921" s="38"/>
      <c r="W921" s="38"/>
      <c r="X921" s="38"/>
      <c r="Y921" s="38"/>
      <c r="Z921" s="38"/>
      <c r="AA921" s="38"/>
      <c r="AB921" s="38"/>
      <c r="AC921" s="38"/>
      <c r="AD921" s="38"/>
      <c r="AE921" s="38"/>
      <c r="AF921" s="38"/>
      <c r="AG921" s="38"/>
      <c r="AH921" s="38"/>
      <c r="AI921" s="38"/>
      <c r="AJ921" s="38"/>
      <c r="AK921" s="38"/>
      <c r="AL921" s="38"/>
      <c r="AM921" s="38"/>
      <c r="AN921" s="38"/>
      <c r="AO921" s="38"/>
      <c r="AP921" s="38"/>
      <c r="AQ921" s="38"/>
      <c r="AR921" s="38"/>
      <c r="AS921" s="38"/>
      <c r="AT921" s="38"/>
      <c r="AU921" s="38"/>
      <c r="AV921" s="38"/>
      <c r="AW921" s="38"/>
      <c r="AX921" s="38"/>
      <c r="AY921" s="38"/>
      <c r="AZ921" s="38"/>
      <c r="BA921" s="38"/>
      <c r="BB921" s="38"/>
      <c r="BC921" s="38"/>
      <c r="BD921" s="38"/>
      <c r="BE921" s="38"/>
      <c r="BF921" s="38"/>
      <c r="BG921" s="38"/>
      <c r="BH921" s="38"/>
      <c r="BI921" s="38"/>
      <c r="BJ921" s="38"/>
      <c r="BK921" s="38"/>
      <c r="BL921" s="38"/>
      <c r="BM921" s="38"/>
      <c r="BN921" s="38"/>
      <c r="BO921" s="38"/>
      <c r="BP921" s="38"/>
      <c r="BQ921" s="38"/>
      <c r="BR921" s="38"/>
    </row>
    <row r="922" spans="1:70">
      <c r="A922" s="38"/>
      <c r="B922" s="38"/>
      <c r="C922" s="43"/>
      <c r="D922" s="38"/>
      <c r="E922" s="38"/>
      <c r="F922" s="43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38"/>
      <c r="V922" s="38"/>
      <c r="W922" s="38"/>
      <c r="X922" s="38"/>
      <c r="Y922" s="38"/>
      <c r="Z922" s="38"/>
      <c r="AA922" s="38"/>
      <c r="AB922" s="38"/>
      <c r="AC922" s="38"/>
      <c r="AD922" s="38"/>
      <c r="AE922" s="38"/>
      <c r="AF922" s="38"/>
      <c r="AG922" s="38"/>
      <c r="AH922" s="38"/>
      <c r="AI922" s="38"/>
      <c r="AJ922" s="38"/>
      <c r="AK922" s="38"/>
      <c r="AL922" s="38"/>
      <c r="AM922" s="38"/>
      <c r="AN922" s="38"/>
      <c r="AO922" s="38"/>
      <c r="AP922" s="38"/>
      <c r="AQ922" s="38"/>
      <c r="AR922" s="38"/>
      <c r="AS922" s="38"/>
      <c r="AT922" s="38"/>
      <c r="AU922" s="38"/>
      <c r="AV922" s="38"/>
      <c r="AW922" s="38"/>
      <c r="AX922" s="38"/>
      <c r="AY922" s="38"/>
      <c r="AZ922" s="38"/>
      <c r="BA922" s="38"/>
      <c r="BB922" s="38"/>
      <c r="BC922" s="38"/>
      <c r="BD922" s="38"/>
      <c r="BE922" s="38"/>
      <c r="BF922" s="38"/>
      <c r="BG922" s="38"/>
      <c r="BH922" s="38"/>
      <c r="BI922" s="38"/>
      <c r="BJ922" s="38"/>
      <c r="BK922" s="38"/>
      <c r="BL922" s="38"/>
      <c r="BM922" s="38"/>
      <c r="BN922" s="38"/>
      <c r="BO922" s="38"/>
      <c r="BP922" s="38"/>
      <c r="BQ922" s="38"/>
      <c r="BR922" s="38"/>
    </row>
    <row r="923" spans="1:70">
      <c r="A923" s="38"/>
      <c r="B923" s="38"/>
      <c r="C923" s="43"/>
      <c r="D923" s="38"/>
      <c r="E923" s="38"/>
      <c r="F923" s="43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38"/>
      <c r="V923" s="38"/>
      <c r="W923" s="38"/>
      <c r="X923" s="38"/>
      <c r="Y923" s="38"/>
      <c r="Z923" s="38"/>
      <c r="AA923" s="38"/>
      <c r="AB923" s="38"/>
      <c r="AC923" s="38"/>
      <c r="AD923" s="38"/>
      <c r="AE923" s="38"/>
      <c r="AF923" s="38"/>
      <c r="AG923" s="38"/>
      <c r="AH923" s="38"/>
      <c r="AI923" s="38"/>
      <c r="AJ923" s="38"/>
      <c r="AK923" s="38"/>
      <c r="AL923" s="38"/>
      <c r="AM923" s="38"/>
      <c r="AN923" s="38"/>
      <c r="AO923" s="38"/>
      <c r="AP923" s="38"/>
      <c r="AQ923" s="38"/>
      <c r="AR923" s="38"/>
      <c r="AS923" s="38"/>
      <c r="AT923" s="38"/>
      <c r="AU923" s="38"/>
      <c r="AV923" s="38"/>
      <c r="AW923" s="38"/>
      <c r="AX923" s="38"/>
      <c r="AY923" s="38"/>
      <c r="AZ923" s="38"/>
      <c r="BA923" s="38"/>
      <c r="BB923" s="38"/>
      <c r="BC923" s="38"/>
      <c r="BD923" s="38"/>
      <c r="BE923" s="38"/>
      <c r="BF923" s="38"/>
      <c r="BG923" s="38"/>
      <c r="BH923" s="38"/>
      <c r="BI923" s="38"/>
      <c r="BJ923" s="38"/>
      <c r="BK923" s="38"/>
      <c r="BL923" s="38"/>
      <c r="BM923" s="38"/>
      <c r="BN923" s="38"/>
      <c r="BO923" s="38"/>
      <c r="BP923" s="38"/>
      <c r="BQ923" s="38"/>
      <c r="BR923" s="38"/>
    </row>
    <row r="924" spans="1:70">
      <c r="A924" s="38"/>
      <c r="B924" s="38"/>
      <c r="C924" s="43"/>
      <c r="D924" s="38"/>
      <c r="E924" s="38"/>
      <c r="F924" s="43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38"/>
      <c r="V924" s="38"/>
      <c r="W924" s="38"/>
      <c r="X924" s="38"/>
      <c r="Y924" s="38"/>
      <c r="Z924" s="38"/>
      <c r="AA924" s="38"/>
      <c r="AB924" s="38"/>
      <c r="AC924" s="38"/>
      <c r="AD924" s="38"/>
      <c r="AE924" s="38"/>
      <c r="AF924" s="38"/>
      <c r="AG924" s="38"/>
      <c r="AH924" s="38"/>
      <c r="AI924" s="38"/>
      <c r="AJ924" s="38"/>
      <c r="AK924" s="38"/>
      <c r="AL924" s="38"/>
      <c r="AM924" s="38"/>
      <c r="AN924" s="38"/>
      <c r="AO924" s="38"/>
      <c r="AP924" s="38"/>
      <c r="AQ924" s="38"/>
      <c r="AR924" s="38"/>
      <c r="AS924" s="38"/>
      <c r="AT924" s="38"/>
      <c r="AU924" s="38"/>
      <c r="AV924" s="38"/>
      <c r="AW924" s="38"/>
      <c r="AX924" s="38"/>
      <c r="AY924" s="38"/>
      <c r="AZ924" s="38"/>
      <c r="BA924" s="38"/>
      <c r="BB924" s="38"/>
      <c r="BC924" s="38"/>
      <c r="BD924" s="38"/>
      <c r="BE924" s="38"/>
      <c r="BF924" s="38"/>
      <c r="BG924" s="38"/>
      <c r="BH924" s="38"/>
      <c r="BI924" s="38"/>
      <c r="BJ924" s="38"/>
      <c r="BK924" s="38"/>
      <c r="BL924" s="38"/>
      <c r="BM924" s="38"/>
      <c r="BN924" s="38"/>
      <c r="BO924" s="38"/>
      <c r="BP924" s="38"/>
      <c r="BQ924" s="38"/>
      <c r="BR924" s="38"/>
    </row>
    <row r="925" spans="1:70">
      <c r="A925" s="38"/>
      <c r="B925" s="38"/>
      <c r="C925" s="43"/>
      <c r="D925" s="38"/>
      <c r="E925" s="38"/>
      <c r="F925" s="43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38"/>
      <c r="V925" s="38"/>
      <c r="W925" s="38"/>
      <c r="X925" s="38"/>
      <c r="Y925" s="38"/>
      <c r="Z925" s="38"/>
      <c r="AA925" s="38"/>
      <c r="AB925" s="38"/>
      <c r="AC925" s="38"/>
      <c r="AD925" s="38"/>
      <c r="AE925" s="38"/>
      <c r="AF925" s="38"/>
      <c r="AG925" s="38"/>
      <c r="AH925" s="38"/>
      <c r="AI925" s="38"/>
      <c r="AJ925" s="38"/>
      <c r="AK925" s="38"/>
      <c r="AL925" s="38"/>
      <c r="AM925" s="38"/>
      <c r="AN925" s="38"/>
      <c r="AO925" s="38"/>
      <c r="AP925" s="38"/>
      <c r="AQ925" s="38"/>
      <c r="AR925" s="38"/>
      <c r="AS925" s="38"/>
      <c r="AT925" s="38"/>
      <c r="AU925" s="38"/>
      <c r="AV925" s="38"/>
      <c r="AW925" s="38"/>
      <c r="AX925" s="38"/>
      <c r="AY925" s="38"/>
      <c r="AZ925" s="38"/>
      <c r="BA925" s="38"/>
      <c r="BB925" s="38"/>
      <c r="BC925" s="38"/>
      <c r="BD925" s="38"/>
      <c r="BE925" s="38"/>
      <c r="BF925" s="38"/>
      <c r="BG925" s="38"/>
      <c r="BH925" s="38"/>
      <c r="BI925" s="38"/>
      <c r="BJ925" s="38"/>
      <c r="BK925" s="38"/>
      <c r="BL925" s="38"/>
      <c r="BM925" s="38"/>
      <c r="BN925" s="38"/>
      <c r="BO925" s="38"/>
      <c r="BP925" s="38"/>
      <c r="BQ925" s="38"/>
      <c r="BR925" s="38"/>
    </row>
    <row r="926" spans="1:70">
      <c r="A926" s="38"/>
      <c r="B926" s="38"/>
      <c r="C926" s="43"/>
      <c r="D926" s="38"/>
      <c r="E926" s="38"/>
      <c r="F926" s="43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38"/>
      <c r="V926" s="38"/>
      <c r="W926" s="38"/>
      <c r="X926" s="38"/>
      <c r="Y926" s="38"/>
      <c r="Z926" s="38"/>
      <c r="AA926" s="38"/>
      <c r="AB926" s="38"/>
      <c r="AC926" s="38"/>
      <c r="AD926" s="38"/>
      <c r="AE926" s="38"/>
      <c r="AF926" s="38"/>
      <c r="AG926" s="38"/>
      <c r="AH926" s="38"/>
      <c r="AI926" s="38"/>
      <c r="AJ926" s="38"/>
      <c r="AK926" s="38"/>
      <c r="AL926" s="38"/>
      <c r="AM926" s="38"/>
      <c r="AN926" s="38"/>
      <c r="AO926" s="38"/>
      <c r="AP926" s="38"/>
      <c r="AQ926" s="38"/>
      <c r="AR926" s="38"/>
      <c r="AS926" s="38"/>
      <c r="AT926" s="38"/>
      <c r="AU926" s="38"/>
      <c r="AV926" s="38"/>
      <c r="AW926" s="38"/>
      <c r="AX926" s="38"/>
      <c r="AY926" s="38"/>
      <c r="AZ926" s="38"/>
      <c r="BA926" s="38"/>
      <c r="BB926" s="38"/>
      <c r="BC926" s="38"/>
      <c r="BD926" s="38"/>
      <c r="BE926" s="38"/>
      <c r="BF926" s="38"/>
      <c r="BG926" s="38"/>
      <c r="BH926" s="38"/>
      <c r="BI926" s="38"/>
      <c r="BJ926" s="38"/>
      <c r="BK926" s="38"/>
      <c r="BL926" s="38"/>
      <c r="BM926" s="38"/>
      <c r="BN926" s="38"/>
      <c r="BO926" s="38"/>
      <c r="BP926" s="38"/>
      <c r="BQ926" s="38"/>
      <c r="BR926" s="38"/>
    </row>
    <row r="927" spans="1:70">
      <c r="A927" s="38"/>
      <c r="B927" s="38"/>
      <c r="C927" s="43"/>
      <c r="D927" s="38"/>
      <c r="E927" s="38"/>
      <c r="F927" s="43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38"/>
      <c r="V927" s="38"/>
      <c r="W927" s="38"/>
      <c r="X927" s="38"/>
      <c r="Y927" s="38"/>
      <c r="Z927" s="38"/>
      <c r="AA927" s="38"/>
      <c r="AB927" s="38"/>
      <c r="AC927" s="38"/>
      <c r="AD927" s="38"/>
      <c r="AE927" s="38"/>
      <c r="AF927" s="38"/>
      <c r="AG927" s="38"/>
      <c r="AH927" s="38"/>
      <c r="AI927" s="38"/>
      <c r="AJ927" s="38"/>
      <c r="AK927" s="38"/>
      <c r="AL927" s="38"/>
      <c r="AM927" s="38"/>
      <c r="AN927" s="38"/>
      <c r="AO927" s="38"/>
      <c r="AP927" s="38"/>
      <c r="AQ927" s="38"/>
      <c r="AR927" s="38"/>
      <c r="AS927" s="38"/>
      <c r="AT927" s="38"/>
      <c r="AU927" s="38"/>
      <c r="AV927" s="38"/>
      <c r="AW927" s="38"/>
      <c r="AX927" s="38"/>
      <c r="AY927" s="38"/>
      <c r="AZ927" s="38"/>
      <c r="BA927" s="38"/>
      <c r="BB927" s="38"/>
      <c r="BC927" s="38"/>
      <c r="BD927" s="38"/>
      <c r="BE927" s="38"/>
      <c r="BF927" s="38"/>
      <c r="BG927" s="38"/>
      <c r="BH927" s="38"/>
      <c r="BI927" s="38"/>
      <c r="BJ927" s="38"/>
      <c r="BK927" s="38"/>
      <c r="BL927" s="38"/>
      <c r="BM927" s="38"/>
      <c r="BN927" s="38"/>
      <c r="BO927" s="38"/>
      <c r="BP927" s="38"/>
      <c r="BQ927" s="38"/>
      <c r="BR927" s="38"/>
    </row>
    <row r="928" spans="1:70">
      <c r="A928" s="38"/>
      <c r="B928" s="38"/>
      <c r="C928" s="43"/>
      <c r="D928" s="38"/>
      <c r="E928" s="38"/>
      <c r="F928" s="43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38"/>
      <c r="V928" s="38"/>
      <c r="W928" s="38"/>
      <c r="X928" s="38"/>
      <c r="Y928" s="38"/>
      <c r="Z928" s="38"/>
      <c r="AA928" s="38"/>
      <c r="AB928" s="38"/>
      <c r="AC928" s="38"/>
      <c r="AD928" s="38"/>
      <c r="AE928" s="38"/>
      <c r="AF928" s="38"/>
      <c r="AG928" s="38"/>
      <c r="AH928" s="38"/>
      <c r="AI928" s="38"/>
      <c r="AJ928" s="38"/>
      <c r="AK928" s="38"/>
      <c r="AL928" s="38"/>
      <c r="AM928" s="38"/>
      <c r="AN928" s="38"/>
      <c r="AO928" s="38"/>
      <c r="AP928" s="38"/>
      <c r="AQ928" s="38"/>
      <c r="AR928" s="38"/>
      <c r="AS928" s="38"/>
      <c r="AT928" s="38"/>
      <c r="AU928" s="38"/>
      <c r="AV928" s="38"/>
      <c r="AW928" s="38"/>
      <c r="AX928" s="38"/>
      <c r="AY928" s="38"/>
      <c r="AZ928" s="38"/>
      <c r="BA928" s="38"/>
      <c r="BB928" s="38"/>
      <c r="BC928" s="38"/>
      <c r="BD928" s="38"/>
      <c r="BE928" s="38"/>
      <c r="BF928" s="38"/>
      <c r="BG928" s="38"/>
      <c r="BH928" s="38"/>
      <c r="BI928" s="38"/>
      <c r="BJ928" s="38"/>
      <c r="BK928" s="38"/>
      <c r="BL928" s="38"/>
      <c r="BM928" s="38"/>
      <c r="BN928" s="38"/>
      <c r="BO928" s="38"/>
      <c r="BP928" s="38"/>
      <c r="BQ928" s="38"/>
      <c r="BR928" s="38"/>
    </row>
    <row r="929" spans="1:70">
      <c r="A929" s="38"/>
      <c r="B929" s="38"/>
      <c r="C929" s="43"/>
      <c r="D929" s="38"/>
      <c r="E929" s="38"/>
      <c r="F929" s="43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38"/>
      <c r="V929" s="38"/>
      <c r="W929" s="38"/>
      <c r="X929" s="38"/>
      <c r="Y929" s="38"/>
      <c r="Z929" s="38"/>
      <c r="AA929" s="38"/>
      <c r="AB929" s="38"/>
      <c r="AC929" s="38"/>
      <c r="AD929" s="38"/>
      <c r="AE929" s="38"/>
      <c r="AF929" s="38"/>
      <c r="AG929" s="38"/>
      <c r="AH929" s="38"/>
      <c r="AI929" s="38"/>
      <c r="AJ929" s="38"/>
      <c r="AK929" s="38"/>
      <c r="AL929" s="38"/>
      <c r="AM929" s="38"/>
      <c r="AN929" s="38"/>
      <c r="AO929" s="38"/>
      <c r="AP929" s="38"/>
      <c r="AQ929" s="38"/>
      <c r="AR929" s="38"/>
      <c r="AS929" s="38"/>
      <c r="AT929" s="38"/>
      <c r="AU929" s="38"/>
      <c r="AV929" s="38"/>
      <c r="AW929" s="38"/>
      <c r="AX929" s="38"/>
      <c r="AY929" s="38"/>
      <c r="AZ929" s="38"/>
      <c r="BA929" s="38"/>
      <c r="BB929" s="38"/>
      <c r="BC929" s="38"/>
      <c r="BD929" s="38"/>
      <c r="BE929" s="38"/>
      <c r="BF929" s="38"/>
      <c r="BG929" s="38"/>
      <c r="BH929" s="38"/>
      <c r="BI929" s="38"/>
      <c r="BJ929" s="38"/>
      <c r="BK929" s="38"/>
      <c r="BL929" s="38"/>
      <c r="BM929" s="38"/>
      <c r="BN929" s="38"/>
      <c r="BO929" s="38"/>
      <c r="BP929" s="38"/>
      <c r="BQ929" s="38"/>
      <c r="BR929" s="38"/>
    </row>
    <row r="930" spans="1:70">
      <c r="A930" s="38"/>
      <c r="B930" s="38"/>
      <c r="C930" s="43"/>
      <c r="D930" s="38"/>
      <c r="E930" s="38"/>
      <c r="F930" s="43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38"/>
      <c r="V930" s="38"/>
      <c r="W930" s="38"/>
      <c r="X930" s="38"/>
      <c r="Y930" s="38"/>
      <c r="Z930" s="38"/>
      <c r="AA930" s="38"/>
      <c r="AB930" s="38"/>
      <c r="AC930" s="38"/>
      <c r="AD930" s="38"/>
      <c r="AE930" s="38"/>
      <c r="AF930" s="38"/>
      <c r="AG930" s="38"/>
      <c r="AH930" s="38"/>
      <c r="AI930" s="38"/>
      <c r="AJ930" s="38"/>
      <c r="AK930" s="38"/>
      <c r="AL930" s="38"/>
      <c r="AM930" s="38"/>
      <c r="AN930" s="38"/>
      <c r="AO930" s="38"/>
      <c r="AP930" s="38"/>
      <c r="AQ930" s="38"/>
      <c r="AR930" s="38"/>
      <c r="AS930" s="38"/>
      <c r="AT930" s="38"/>
      <c r="AU930" s="38"/>
      <c r="AV930" s="38"/>
      <c r="AW930" s="38"/>
      <c r="AX930" s="38"/>
      <c r="AY930" s="38"/>
      <c r="AZ930" s="38"/>
      <c r="BA930" s="38"/>
      <c r="BB930" s="38"/>
      <c r="BC930" s="38"/>
      <c r="BD930" s="38"/>
      <c r="BE930" s="38"/>
      <c r="BF930" s="38"/>
      <c r="BG930" s="38"/>
      <c r="BH930" s="38"/>
      <c r="BI930" s="38"/>
      <c r="BJ930" s="38"/>
      <c r="BK930" s="38"/>
      <c r="BL930" s="38"/>
      <c r="BM930" s="38"/>
      <c r="BN930" s="38"/>
      <c r="BO930" s="38"/>
      <c r="BP930" s="38"/>
      <c r="BQ930" s="38"/>
      <c r="BR930" s="38"/>
    </row>
    <row r="931" spans="1:70">
      <c r="A931" s="38"/>
      <c r="B931" s="38"/>
      <c r="C931" s="43"/>
      <c r="D931" s="38"/>
      <c r="E931" s="38"/>
      <c r="F931" s="43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38"/>
      <c r="V931" s="38"/>
      <c r="W931" s="38"/>
      <c r="X931" s="38"/>
      <c r="Y931" s="38"/>
      <c r="Z931" s="38"/>
      <c r="AA931" s="38"/>
      <c r="AB931" s="38"/>
      <c r="AC931" s="38"/>
      <c r="AD931" s="38"/>
      <c r="AE931" s="38"/>
      <c r="AF931" s="38"/>
      <c r="AG931" s="38"/>
      <c r="AH931" s="38"/>
      <c r="AI931" s="38"/>
      <c r="AJ931" s="38"/>
      <c r="AK931" s="38"/>
      <c r="AL931" s="38"/>
      <c r="AM931" s="38"/>
      <c r="AN931" s="38"/>
      <c r="AO931" s="38"/>
      <c r="AP931" s="38"/>
      <c r="AQ931" s="38"/>
      <c r="AR931" s="38"/>
      <c r="AS931" s="38"/>
      <c r="AT931" s="38"/>
      <c r="AU931" s="38"/>
      <c r="AV931" s="38"/>
      <c r="AW931" s="38"/>
      <c r="AX931" s="38"/>
      <c r="AY931" s="38"/>
      <c r="AZ931" s="38"/>
      <c r="BA931" s="38"/>
      <c r="BB931" s="38"/>
      <c r="BC931" s="38"/>
      <c r="BD931" s="38"/>
      <c r="BE931" s="38"/>
      <c r="BF931" s="38"/>
      <c r="BG931" s="38"/>
      <c r="BH931" s="38"/>
      <c r="BI931" s="38"/>
      <c r="BJ931" s="38"/>
      <c r="BK931" s="38"/>
      <c r="BL931" s="38"/>
      <c r="BM931" s="38"/>
      <c r="BN931" s="38"/>
      <c r="BO931" s="38"/>
      <c r="BP931" s="38"/>
      <c r="BQ931" s="38"/>
      <c r="BR931" s="38"/>
    </row>
    <row r="932" spans="1:70">
      <c r="A932" s="38"/>
      <c r="B932" s="38"/>
      <c r="C932" s="43"/>
      <c r="D932" s="38"/>
      <c r="E932" s="38"/>
      <c r="F932" s="43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38"/>
      <c r="V932" s="38"/>
      <c r="W932" s="38"/>
      <c r="X932" s="38"/>
      <c r="Y932" s="38"/>
      <c r="Z932" s="38"/>
      <c r="AA932" s="38"/>
      <c r="AB932" s="38"/>
      <c r="AC932" s="38"/>
      <c r="AD932" s="38"/>
      <c r="AE932" s="38"/>
      <c r="AF932" s="38"/>
      <c r="AG932" s="38"/>
      <c r="AH932" s="38"/>
      <c r="AI932" s="38"/>
      <c r="AJ932" s="38"/>
      <c r="AK932" s="38"/>
      <c r="AL932" s="38"/>
      <c r="AM932" s="38"/>
      <c r="AN932" s="38"/>
      <c r="AO932" s="38"/>
      <c r="AP932" s="38"/>
      <c r="AQ932" s="38"/>
      <c r="AR932" s="38"/>
      <c r="AS932" s="38"/>
      <c r="AT932" s="38"/>
      <c r="AU932" s="38"/>
      <c r="AV932" s="38"/>
      <c r="AW932" s="38"/>
      <c r="AX932" s="38"/>
      <c r="AY932" s="38"/>
      <c r="AZ932" s="38"/>
      <c r="BA932" s="38"/>
      <c r="BB932" s="38"/>
      <c r="BC932" s="38"/>
      <c r="BD932" s="38"/>
      <c r="BE932" s="38"/>
      <c r="BF932" s="38"/>
      <c r="BG932" s="38"/>
      <c r="BH932" s="38"/>
      <c r="BI932" s="38"/>
      <c r="BJ932" s="38"/>
      <c r="BK932" s="38"/>
      <c r="BL932" s="38"/>
      <c r="BM932" s="38"/>
      <c r="BN932" s="38"/>
      <c r="BO932" s="38"/>
      <c r="BP932" s="38"/>
      <c r="BQ932" s="38"/>
      <c r="BR932" s="38"/>
    </row>
    <row r="933" spans="1:70">
      <c r="A933" s="38"/>
      <c r="B933" s="38"/>
      <c r="C933" s="43"/>
      <c r="D933" s="38"/>
      <c r="E933" s="38"/>
      <c r="F933" s="43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38"/>
      <c r="V933" s="38"/>
      <c r="W933" s="38"/>
      <c r="X933" s="38"/>
      <c r="Y933" s="38"/>
      <c r="Z933" s="38"/>
      <c r="AA933" s="38"/>
      <c r="AB933" s="38"/>
      <c r="AC933" s="38"/>
      <c r="AD933" s="38"/>
      <c r="AE933" s="38"/>
      <c r="AF933" s="38"/>
      <c r="AG933" s="38"/>
      <c r="AH933" s="38"/>
      <c r="AI933" s="38"/>
      <c r="AJ933" s="38"/>
      <c r="AK933" s="38"/>
      <c r="AL933" s="38"/>
      <c r="AM933" s="38"/>
      <c r="AN933" s="38"/>
      <c r="AO933" s="38"/>
      <c r="AP933" s="38"/>
      <c r="AQ933" s="38"/>
      <c r="AR933" s="38"/>
      <c r="AS933" s="38"/>
      <c r="AT933" s="38"/>
      <c r="AU933" s="38"/>
      <c r="AV933" s="38"/>
      <c r="AW933" s="38"/>
      <c r="AX933" s="38"/>
      <c r="AY933" s="38"/>
      <c r="AZ933" s="38"/>
      <c r="BA933" s="38"/>
      <c r="BB933" s="38"/>
      <c r="BC933" s="38"/>
      <c r="BD933" s="38"/>
      <c r="BE933" s="38"/>
      <c r="BF933" s="38"/>
      <c r="BG933" s="38"/>
      <c r="BH933" s="38"/>
      <c r="BI933" s="38"/>
      <c r="BJ933" s="38"/>
      <c r="BK933" s="38"/>
      <c r="BL933" s="38"/>
      <c r="BM933" s="38"/>
      <c r="BN933" s="38"/>
      <c r="BO933" s="38"/>
      <c r="BP933" s="38"/>
      <c r="BQ933" s="38"/>
      <c r="BR933" s="38"/>
    </row>
    <row r="934" spans="1:70">
      <c r="A934" s="38"/>
      <c r="B934" s="38"/>
      <c r="C934" s="43"/>
      <c r="D934" s="38"/>
      <c r="E934" s="38"/>
      <c r="F934" s="43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38"/>
      <c r="V934" s="38"/>
      <c r="W934" s="38"/>
      <c r="X934" s="38"/>
      <c r="Y934" s="38"/>
      <c r="Z934" s="38"/>
      <c r="AA934" s="38"/>
      <c r="AB934" s="38"/>
      <c r="AC934" s="38"/>
      <c r="AD934" s="38"/>
      <c r="AE934" s="38"/>
      <c r="AF934" s="38"/>
      <c r="AG934" s="38"/>
      <c r="AH934" s="38"/>
      <c r="AI934" s="38"/>
      <c r="AJ934" s="38"/>
      <c r="AK934" s="38"/>
      <c r="AL934" s="38"/>
      <c r="AM934" s="38"/>
      <c r="AN934" s="38"/>
      <c r="AO934" s="38"/>
      <c r="AP934" s="38"/>
      <c r="AQ934" s="38"/>
      <c r="AR934" s="38"/>
      <c r="AS934" s="38"/>
      <c r="AT934" s="38"/>
      <c r="AU934" s="38"/>
      <c r="AV934" s="38"/>
      <c r="AW934" s="38"/>
      <c r="AX934" s="38"/>
      <c r="AY934" s="38"/>
      <c r="AZ934" s="38"/>
      <c r="BA934" s="38"/>
      <c r="BB934" s="38"/>
      <c r="BC934" s="38"/>
      <c r="BD934" s="38"/>
      <c r="BE934" s="38"/>
      <c r="BF934" s="38"/>
      <c r="BG934" s="38"/>
      <c r="BH934" s="38"/>
      <c r="BI934" s="38"/>
      <c r="BJ934" s="38"/>
      <c r="BK934" s="38"/>
      <c r="BL934" s="38"/>
      <c r="BM934" s="38"/>
      <c r="BN934" s="38"/>
      <c r="BO934" s="38"/>
      <c r="BP934" s="38"/>
      <c r="BQ934" s="38"/>
      <c r="BR934" s="38"/>
    </row>
    <row r="935" spans="1:70">
      <c r="A935" s="38"/>
      <c r="B935" s="38"/>
      <c r="C935" s="43"/>
      <c r="D935" s="38"/>
      <c r="E935" s="38"/>
      <c r="F935" s="43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38"/>
      <c r="V935" s="38"/>
      <c r="W935" s="38"/>
      <c r="X935" s="38"/>
      <c r="Y935" s="38"/>
      <c r="Z935" s="38"/>
      <c r="AA935" s="38"/>
      <c r="AB935" s="38"/>
      <c r="AC935" s="38"/>
      <c r="AD935" s="38"/>
      <c r="AE935" s="38"/>
      <c r="AF935" s="38"/>
      <c r="AG935" s="38"/>
      <c r="AH935" s="38"/>
      <c r="AI935" s="38"/>
      <c r="AJ935" s="38"/>
      <c r="AK935" s="38"/>
      <c r="AL935" s="38"/>
      <c r="AM935" s="38"/>
      <c r="AN935" s="38"/>
      <c r="AO935" s="38"/>
      <c r="AP935" s="38"/>
      <c r="AQ935" s="38"/>
      <c r="AR935" s="38"/>
      <c r="AS935" s="38"/>
      <c r="AT935" s="38"/>
      <c r="AU935" s="38"/>
      <c r="AV935" s="38"/>
      <c r="AW935" s="38"/>
      <c r="AX935" s="38"/>
      <c r="AY935" s="38"/>
      <c r="AZ935" s="38"/>
      <c r="BA935" s="38"/>
      <c r="BB935" s="38"/>
      <c r="BC935" s="38"/>
      <c r="BD935" s="38"/>
      <c r="BE935" s="38"/>
      <c r="BF935" s="38"/>
      <c r="BG935" s="38"/>
      <c r="BH935" s="38"/>
      <c r="BI935" s="38"/>
      <c r="BJ935" s="38"/>
      <c r="BK935" s="38"/>
      <c r="BL935" s="38"/>
      <c r="BM935" s="38"/>
      <c r="BN935" s="38"/>
      <c r="BO935" s="38"/>
      <c r="BP935" s="38"/>
      <c r="BQ935" s="38"/>
      <c r="BR935" s="38"/>
    </row>
    <row r="936" spans="1:70">
      <c r="A936" s="38"/>
      <c r="B936" s="38"/>
      <c r="C936" s="43"/>
      <c r="D936" s="38"/>
      <c r="E936" s="38"/>
      <c r="F936" s="43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38"/>
      <c r="V936" s="38"/>
      <c r="W936" s="38"/>
      <c r="X936" s="38"/>
      <c r="Y936" s="38"/>
      <c r="Z936" s="38"/>
      <c r="AA936" s="38"/>
      <c r="AB936" s="38"/>
      <c r="AC936" s="38"/>
      <c r="AD936" s="38"/>
      <c r="AE936" s="38"/>
      <c r="AF936" s="38"/>
      <c r="AG936" s="38"/>
      <c r="AH936" s="38"/>
      <c r="AI936" s="38"/>
      <c r="AJ936" s="38"/>
      <c r="AK936" s="38"/>
      <c r="AL936" s="38"/>
      <c r="AM936" s="38"/>
      <c r="AN936" s="38"/>
      <c r="AO936" s="38"/>
      <c r="AP936" s="38"/>
      <c r="AQ936" s="38"/>
      <c r="AR936" s="38"/>
      <c r="AS936" s="38"/>
      <c r="AT936" s="38"/>
      <c r="AU936" s="38"/>
      <c r="AV936" s="38"/>
      <c r="AW936" s="38"/>
      <c r="AX936" s="38"/>
      <c r="AY936" s="38"/>
      <c r="AZ936" s="38"/>
      <c r="BA936" s="38"/>
      <c r="BB936" s="38"/>
      <c r="BC936" s="38"/>
      <c r="BD936" s="38"/>
      <c r="BE936" s="38"/>
      <c r="BF936" s="38"/>
      <c r="BG936" s="38"/>
      <c r="BH936" s="38"/>
      <c r="BI936" s="38"/>
      <c r="BJ936" s="38"/>
      <c r="BK936" s="38"/>
      <c r="BL936" s="38"/>
      <c r="BM936" s="38"/>
      <c r="BN936" s="38"/>
      <c r="BO936" s="38"/>
      <c r="BP936" s="38"/>
      <c r="BQ936" s="38"/>
      <c r="BR936" s="38"/>
    </row>
    <row r="937" spans="1:70">
      <c r="A937" s="38"/>
      <c r="B937" s="38"/>
      <c r="C937" s="43"/>
      <c r="D937" s="38"/>
      <c r="E937" s="38"/>
      <c r="F937" s="43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38"/>
      <c r="V937" s="38"/>
      <c r="W937" s="38"/>
      <c r="X937" s="38"/>
      <c r="Y937" s="38"/>
      <c r="Z937" s="38"/>
      <c r="AA937" s="38"/>
      <c r="AB937" s="38"/>
      <c r="AC937" s="38"/>
      <c r="AD937" s="38"/>
      <c r="AE937" s="38"/>
      <c r="AF937" s="38"/>
      <c r="AG937" s="38"/>
      <c r="AH937" s="38"/>
      <c r="AI937" s="38"/>
      <c r="AJ937" s="38"/>
      <c r="AK937" s="38"/>
      <c r="AL937" s="38"/>
      <c r="AM937" s="38"/>
      <c r="AN937" s="38"/>
      <c r="AO937" s="38"/>
      <c r="AP937" s="38"/>
      <c r="AQ937" s="38"/>
      <c r="AR937" s="38"/>
      <c r="AS937" s="38"/>
      <c r="AT937" s="38"/>
      <c r="AU937" s="38"/>
      <c r="AV937" s="38"/>
      <c r="AW937" s="38"/>
      <c r="AX937" s="38"/>
      <c r="AY937" s="38"/>
      <c r="AZ937" s="38"/>
      <c r="BA937" s="38"/>
      <c r="BB937" s="38"/>
      <c r="BC937" s="38"/>
      <c r="BD937" s="38"/>
      <c r="BE937" s="38"/>
      <c r="BF937" s="38"/>
      <c r="BG937" s="38"/>
      <c r="BH937" s="38"/>
      <c r="BI937" s="38"/>
      <c r="BJ937" s="38"/>
      <c r="BK937" s="38"/>
      <c r="BL937" s="38"/>
      <c r="BM937" s="38"/>
      <c r="BN937" s="38"/>
      <c r="BO937" s="38"/>
      <c r="BP937" s="38"/>
      <c r="BQ937" s="38"/>
      <c r="BR937" s="38"/>
    </row>
    <row r="938" spans="1:70">
      <c r="A938" s="38"/>
      <c r="B938" s="38"/>
      <c r="C938" s="43"/>
      <c r="D938" s="38"/>
      <c r="E938" s="38"/>
      <c r="F938" s="43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38"/>
      <c r="V938" s="38"/>
      <c r="W938" s="38"/>
      <c r="X938" s="38"/>
      <c r="Y938" s="38"/>
      <c r="Z938" s="38"/>
      <c r="AA938" s="38"/>
      <c r="AB938" s="38"/>
      <c r="AC938" s="38"/>
      <c r="AD938" s="38"/>
      <c r="AE938" s="38"/>
      <c r="AF938" s="38"/>
      <c r="AG938" s="38"/>
      <c r="AH938" s="38"/>
      <c r="AI938" s="38"/>
      <c r="AJ938" s="38"/>
      <c r="AK938" s="38"/>
      <c r="AL938" s="38"/>
      <c r="AM938" s="38"/>
      <c r="AN938" s="38"/>
      <c r="AO938" s="38"/>
      <c r="AP938" s="38"/>
      <c r="AQ938" s="38"/>
      <c r="AR938" s="38"/>
      <c r="AS938" s="38"/>
      <c r="AT938" s="38"/>
      <c r="AU938" s="38"/>
      <c r="AV938" s="38"/>
      <c r="AW938" s="38"/>
      <c r="AX938" s="38"/>
      <c r="AY938" s="38"/>
      <c r="AZ938" s="38"/>
      <c r="BA938" s="38"/>
      <c r="BB938" s="38"/>
      <c r="BC938" s="38"/>
      <c r="BD938" s="38"/>
      <c r="BE938" s="38"/>
      <c r="BF938" s="38"/>
      <c r="BG938" s="38"/>
      <c r="BH938" s="38"/>
      <c r="BI938" s="38"/>
      <c r="BJ938" s="38"/>
      <c r="BK938" s="38"/>
      <c r="BL938" s="38"/>
      <c r="BM938" s="38"/>
      <c r="BN938" s="38"/>
      <c r="BO938" s="38"/>
      <c r="BP938" s="38"/>
      <c r="BQ938" s="38"/>
      <c r="BR938" s="38"/>
    </row>
    <row r="939" spans="1:70">
      <c r="A939" s="38"/>
      <c r="B939" s="38"/>
      <c r="C939" s="43"/>
      <c r="D939" s="38"/>
      <c r="E939" s="38"/>
      <c r="F939" s="43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38"/>
      <c r="V939" s="38"/>
      <c r="W939" s="38"/>
      <c r="X939" s="38"/>
      <c r="Y939" s="38"/>
      <c r="Z939" s="38"/>
      <c r="AA939" s="38"/>
      <c r="AB939" s="38"/>
      <c r="AC939" s="38"/>
      <c r="AD939" s="38"/>
      <c r="AE939" s="38"/>
      <c r="AF939" s="38"/>
      <c r="AG939" s="38"/>
      <c r="AH939" s="38"/>
      <c r="AI939" s="38"/>
      <c r="AJ939" s="38"/>
      <c r="AK939" s="38"/>
      <c r="AL939" s="38"/>
      <c r="AM939" s="38"/>
      <c r="AN939" s="38"/>
      <c r="AO939" s="38"/>
      <c r="AP939" s="38"/>
      <c r="AQ939" s="38"/>
      <c r="AR939" s="38"/>
      <c r="AS939" s="38"/>
      <c r="AT939" s="38"/>
      <c r="AU939" s="38"/>
      <c r="AV939" s="38"/>
      <c r="AW939" s="38"/>
      <c r="AX939" s="38"/>
      <c r="AY939" s="38"/>
      <c r="AZ939" s="38"/>
      <c r="BA939" s="38"/>
      <c r="BB939" s="38"/>
      <c r="BC939" s="38"/>
      <c r="BD939" s="38"/>
      <c r="BE939" s="38"/>
      <c r="BF939" s="38"/>
      <c r="BG939" s="38"/>
      <c r="BH939" s="38"/>
      <c r="BI939" s="38"/>
      <c r="BJ939" s="38"/>
      <c r="BK939" s="38"/>
      <c r="BL939" s="38"/>
      <c r="BM939" s="38"/>
      <c r="BN939" s="38"/>
      <c r="BO939" s="38"/>
      <c r="BP939" s="38"/>
      <c r="BQ939" s="38"/>
      <c r="BR939" s="38"/>
    </row>
    <row r="940" spans="1:70">
      <c r="A940" s="38"/>
      <c r="B940" s="38"/>
      <c r="C940" s="43"/>
      <c r="D940" s="38"/>
      <c r="E940" s="38"/>
      <c r="F940" s="43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38"/>
      <c r="V940" s="38"/>
      <c r="W940" s="38"/>
      <c r="X940" s="38"/>
      <c r="Y940" s="38"/>
      <c r="Z940" s="38"/>
      <c r="AA940" s="38"/>
      <c r="AB940" s="38"/>
      <c r="AC940" s="38"/>
      <c r="AD940" s="38"/>
      <c r="AE940" s="38"/>
      <c r="AF940" s="38"/>
      <c r="AG940" s="38"/>
      <c r="AH940" s="38"/>
      <c r="AI940" s="38"/>
      <c r="AJ940" s="38"/>
      <c r="AK940" s="38"/>
      <c r="AL940" s="38"/>
      <c r="AM940" s="38"/>
      <c r="AN940" s="38"/>
      <c r="AO940" s="38"/>
      <c r="AP940" s="38"/>
      <c r="AQ940" s="38"/>
      <c r="AR940" s="38"/>
      <c r="AS940" s="38"/>
      <c r="AT940" s="38"/>
      <c r="AU940" s="38"/>
      <c r="AV940" s="38"/>
      <c r="AW940" s="38"/>
      <c r="AX940" s="38"/>
      <c r="AY940" s="38"/>
      <c r="AZ940" s="38"/>
      <c r="BA940" s="38"/>
      <c r="BB940" s="38"/>
      <c r="BC940" s="38"/>
      <c r="BD940" s="38"/>
      <c r="BE940" s="38"/>
      <c r="BF940" s="38"/>
      <c r="BG940" s="38"/>
      <c r="BH940" s="38"/>
      <c r="BI940" s="38"/>
      <c r="BJ940" s="38"/>
      <c r="BK940" s="38"/>
      <c r="BL940" s="38"/>
      <c r="BM940" s="38"/>
      <c r="BN940" s="38"/>
      <c r="BO940" s="38"/>
      <c r="BP940" s="38"/>
      <c r="BQ940" s="38"/>
      <c r="BR940" s="38"/>
    </row>
    <row r="941" spans="1:70">
      <c r="A941" s="38"/>
      <c r="B941" s="38"/>
      <c r="C941" s="43"/>
      <c r="D941" s="38"/>
      <c r="E941" s="38"/>
      <c r="F941" s="43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38"/>
      <c r="V941" s="38"/>
      <c r="W941" s="38"/>
      <c r="X941" s="38"/>
      <c r="Y941" s="38"/>
      <c r="Z941" s="38"/>
      <c r="AA941" s="38"/>
      <c r="AB941" s="38"/>
      <c r="AC941" s="38"/>
      <c r="AD941" s="38"/>
      <c r="AE941" s="38"/>
      <c r="AF941" s="38"/>
      <c r="AG941" s="38"/>
      <c r="AH941" s="38"/>
      <c r="AI941" s="38"/>
      <c r="AJ941" s="38"/>
      <c r="AK941" s="38"/>
      <c r="AL941" s="38"/>
      <c r="AM941" s="38"/>
      <c r="AN941" s="38"/>
      <c r="AO941" s="38"/>
      <c r="AP941" s="38"/>
      <c r="AQ941" s="38"/>
      <c r="AR941" s="38"/>
      <c r="AS941" s="38"/>
      <c r="AT941" s="38"/>
      <c r="AU941" s="38"/>
      <c r="AV941" s="38"/>
      <c r="AW941" s="38"/>
      <c r="AX941" s="38"/>
      <c r="AY941" s="38"/>
      <c r="AZ941" s="38"/>
      <c r="BA941" s="38"/>
      <c r="BB941" s="38"/>
      <c r="BC941" s="38"/>
      <c r="BD941" s="38"/>
      <c r="BE941" s="38"/>
      <c r="BF941" s="38"/>
      <c r="BG941" s="38"/>
      <c r="BH941" s="38"/>
      <c r="BI941" s="38"/>
      <c r="BJ941" s="38"/>
      <c r="BK941" s="38"/>
      <c r="BL941" s="38"/>
      <c r="BM941" s="38"/>
      <c r="BN941" s="38"/>
      <c r="BO941" s="38"/>
      <c r="BP941" s="38"/>
      <c r="BQ941" s="38"/>
      <c r="BR941" s="38"/>
    </row>
    <row r="942" spans="1:70">
      <c r="A942" s="38"/>
      <c r="B942" s="38"/>
      <c r="C942" s="43"/>
      <c r="D942" s="38"/>
      <c r="E942" s="38"/>
      <c r="F942" s="43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38"/>
      <c r="V942" s="38"/>
      <c r="W942" s="38"/>
      <c r="X942" s="38"/>
      <c r="Y942" s="38"/>
      <c r="Z942" s="38"/>
      <c r="AA942" s="38"/>
      <c r="AB942" s="38"/>
      <c r="AC942" s="38"/>
      <c r="AD942" s="38"/>
      <c r="AE942" s="38"/>
      <c r="AF942" s="38"/>
      <c r="AG942" s="38"/>
      <c r="AH942" s="38"/>
      <c r="AI942" s="38"/>
      <c r="AJ942" s="38"/>
      <c r="AK942" s="38"/>
      <c r="AL942" s="38"/>
      <c r="AM942" s="38"/>
      <c r="AN942" s="38"/>
      <c r="AO942" s="38"/>
      <c r="AP942" s="38"/>
      <c r="AQ942" s="38"/>
      <c r="AR942" s="38"/>
      <c r="AS942" s="38"/>
      <c r="AT942" s="38"/>
      <c r="AU942" s="38"/>
      <c r="AV942" s="38"/>
      <c r="AW942" s="38"/>
      <c r="AX942" s="38"/>
      <c r="AY942" s="38"/>
      <c r="AZ942" s="38"/>
      <c r="BA942" s="38"/>
      <c r="BB942" s="38"/>
      <c r="BC942" s="38"/>
      <c r="BD942" s="38"/>
      <c r="BE942" s="38"/>
      <c r="BF942" s="38"/>
      <c r="BG942" s="38"/>
      <c r="BH942" s="38"/>
      <c r="BI942" s="38"/>
      <c r="BJ942" s="38"/>
      <c r="BK942" s="38"/>
      <c r="BL942" s="38"/>
      <c r="BM942" s="38"/>
      <c r="BN942" s="38"/>
      <c r="BO942" s="38"/>
      <c r="BP942" s="38"/>
      <c r="BQ942" s="38"/>
      <c r="BR942" s="38"/>
    </row>
    <row r="943" spans="1:70">
      <c r="A943" s="38"/>
      <c r="B943" s="38"/>
      <c r="C943" s="43"/>
      <c r="D943" s="38"/>
      <c r="E943" s="38"/>
      <c r="F943" s="43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38"/>
      <c r="V943" s="38"/>
      <c r="W943" s="38"/>
      <c r="X943" s="38"/>
      <c r="Y943" s="38"/>
      <c r="Z943" s="38"/>
      <c r="AA943" s="38"/>
      <c r="AB943" s="38"/>
      <c r="AC943" s="38"/>
      <c r="AD943" s="38"/>
      <c r="AE943" s="38"/>
      <c r="AF943" s="38"/>
      <c r="AG943" s="38"/>
      <c r="AH943" s="38"/>
      <c r="AI943" s="38"/>
      <c r="AJ943" s="38"/>
      <c r="AK943" s="38"/>
      <c r="AL943" s="38"/>
      <c r="AM943" s="38"/>
      <c r="AN943" s="38"/>
      <c r="AO943" s="38"/>
      <c r="AP943" s="38"/>
      <c r="AQ943" s="38"/>
      <c r="AR943" s="38"/>
      <c r="AS943" s="38"/>
      <c r="AT943" s="38"/>
      <c r="AU943" s="38"/>
      <c r="AV943" s="38"/>
      <c r="AW943" s="38"/>
      <c r="AX943" s="38"/>
      <c r="AY943" s="38"/>
      <c r="AZ943" s="38"/>
      <c r="BA943" s="38"/>
      <c r="BB943" s="38"/>
      <c r="BC943" s="38"/>
      <c r="BD943" s="38"/>
      <c r="BE943" s="38"/>
      <c r="BF943" s="38"/>
      <c r="BG943" s="38"/>
      <c r="BH943" s="38"/>
      <c r="BI943" s="38"/>
      <c r="BJ943" s="38"/>
      <c r="BK943" s="38"/>
      <c r="BL943" s="38"/>
      <c r="BM943" s="38"/>
      <c r="BN943" s="38"/>
      <c r="BO943" s="38"/>
      <c r="BP943" s="38"/>
      <c r="BQ943" s="38"/>
      <c r="BR943" s="38"/>
    </row>
    <row r="944" spans="1:70">
      <c r="A944" s="38"/>
      <c r="B944" s="38"/>
      <c r="C944" s="43"/>
      <c r="D944" s="38"/>
      <c r="E944" s="38"/>
      <c r="F944" s="43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38"/>
      <c r="V944" s="38"/>
      <c r="W944" s="38"/>
      <c r="X944" s="38"/>
      <c r="Y944" s="38"/>
      <c r="Z944" s="38"/>
      <c r="AA944" s="38"/>
      <c r="AB944" s="38"/>
      <c r="AC944" s="38"/>
      <c r="AD944" s="38"/>
      <c r="AE944" s="38"/>
      <c r="AF944" s="38"/>
      <c r="AG944" s="38"/>
      <c r="AH944" s="38"/>
      <c r="AI944" s="38"/>
      <c r="AJ944" s="38"/>
      <c r="AK944" s="38"/>
      <c r="AL944" s="38"/>
      <c r="AM944" s="38"/>
      <c r="AN944" s="38"/>
      <c r="AO944" s="38"/>
      <c r="AP944" s="38"/>
      <c r="AQ944" s="38"/>
      <c r="AR944" s="38"/>
      <c r="AS944" s="38"/>
      <c r="AT944" s="38"/>
      <c r="AU944" s="38"/>
      <c r="AV944" s="38"/>
      <c r="AW944" s="38"/>
      <c r="AX944" s="38"/>
      <c r="AY944" s="38"/>
      <c r="AZ944" s="38"/>
      <c r="BA944" s="38"/>
      <c r="BB944" s="38"/>
      <c r="BC944" s="38"/>
      <c r="BD944" s="38"/>
      <c r="BE944" s="38"/>
      <c r="BF944" s="38"/>
      <c r="BG944" s="38"/>
      <c r="BH944" s="38"/>
      <c r="BI944" s="38"/>
      <c r="BJ944" s="38"/>
      <c r="BK944" s="38"/>
      <c r="BL944" s="38"/>
      <c r="BM944" s="38"/>
      <c r="BN944" s="38"/>
      <c r="BO944" s="38"/>
      <c r="BP944" s="38"/>
      <c r="BQ944" s="38"/>
      <c r="BR944" s="38"/>
    </row>
    <row r="945" spans="1:70">
      <c r="A945" s="38"/>
      <c r="B945" s="38"/>
      <c r="C945" s="43"/>
      <c r="D945" s="38"/>
      <c r="E945" s="38"/>
      <c r="F945" s="43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38"/>
      <c r="V945" s="38"/>
      <c r="W945" s="38"/>
      <c r="X945" s="38"/>
      <c r="Y945" s="38"/>
      <c r="Z945" s="38"/>
      <c r="AA945" s="38"/>
      <c r="AB945" s="38"/>
      <c r="AC945" s="38"/>
      <c r="AD945" s="38"/>
      <c r="AE945" s="38"/>
      <c r="AF945" s="38"/>
      <c r="AG945" s="38"/>
      <c r="AH945" s="38"/>
      <c r="AI945" s="38"/>
      <c r="AJ945" s="38"/>
      <c r="AK945" s="38"/>
      <c r="AL945" s="38"/>
      <c r="AM945" s="38"/>
      <c r="AN945" s="38"/>
      <c r="AO945" s="38"/>
      <c r="AP945" s="38"/>
      <c r="AQ945" s="38"/>
      <c r="AR945" s="38"/>
      <c r="AS945" s="38"/>
      <c r="AT945" s="38"/>
      <c r="AU945" s="38"/>
      <c r="AV945" s="38"/>
      <c r="AW945" s="38"/>
      <c r="AX945" s="38"/>
      <c r="AY945" s="38"/>
      <c r="AZ945" s="38"/>
      <c r="BA945" s="38"/>
      <c r="BB945" s="38"/>
      <c r="BC945" s="38"/>
      <c r="BD945" s="38"/>
      <c r="BE945" s="38"/>
      <c r="BF945" s="38"/>
      <c r="BG945" s="38"/>
      <c r="BH945" s="38"/>
      <c r="BI945" s="38"/>
      <c r="BJ945" s="38"/>
      <c r="BK945" s="38"/>
      <c r="BL945" s="38"/>
      <c r="BM945" s="38"/>
      <c r="BN945" s="38"/>
      <c r="BO945" s="38"/>
      <c r="BP945" s="38"/>
      <c r="BQ945" s="38"/>
      <c r="BR945" s="38"/>
    </row>
    <row r="946" spans="1:70">
      <c r="A946" s="38"/>
      <c r="B946" s="38"/>
      <c r="C946" s="43"/>
      <c r="D946" s="38"/>
      <c r="E946" s="38"/>
      <c r="F946" s="43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38"/>
      <c r="V946" s="38"/>
      <c r="W946" s="38"/>
      <c r="X946" s="38"/>
      <c r="Y946" s="38"/>
      <c r="Z946" s="38"/>
      <c r="AA946" s="38"/>
      <c r="AB946" s="38"/>
      <c r="AC946" s="38"/>
      <c r="AD946" s="38"/>
      <c r="AE946" s="38"/>
      <c r="AF946" s="38"/>
      <c r="AG946" s="38"/>
      <c r="AH946" s="38"/>
      <c r="AI946" s="38"/>
      <c r="AJ946" s="38"/>
      <c r="AK946" s="38"/>
      <c r="AL946" s="38"/>
      <c r="AM946" s="38"/>
      <c r="AN946" s="38"/>
      <c r="AO946" s="38"/>
      <c r="AP946" s="38"/>
      <c r="AQ946" s="38"/>
      <c r="AR946" s="38"/>
      <c r="AS946" s="38"/>
      <c r="AT946" s="38"/>
      <c r="AU946" s="38"/>
      <c r="AV946" s="38"/>
      <c r="AW946" s="38"/>
      <c r="AX946" s="38"/>
      <c r="AY946" s="38"/>
      <c r="AZ946" s="38"/>
      <c r="BA946" s="38"/>
      <c r="BB946" s="38"/>
      <c r="BC946" s="38"/>
      <c r="BD946" s="38"/>
      <c r="BE946" s="38"/>
      <c r="BF946" s="38"/>
      <c r="BG946" s="38"/>
      <c r="BH946" s="38"/>
      <c r="BI946" s="38"/>
      <c r="BJ946" s="38"/>
      <c r="BK946" s="38"/>
      <c r="BL946" s="38"/>
      <c r="BM946" s="38"/>
      <c r="BN946" s="38"/>
      <c r="BO946" s="38"/>
      <c r="BP946" s="38"/>
      <c r="BQ946" s="38"/>
      <c r="BR946" s="38"/>
    </row>
    <row r="947" spans="1:70">
      <c r="A947" s="38"/>
      <c r="B947" s="38"/>
      <c r="C947" s="43"/>
      <c r="D947" s="38"/>
      <c r="E947" s="38"/>
      <c r="F947" s="43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38"/>
      <c r="V947" s="38"/>
      <c r="W947" s="38"/>
      <c r="X947" s="38"/>
      <c r="Y947" s="38"/>
      <c r="Z947" s="38"/>
      <c r="AA947" s="38"/>
      <c r="AB947" s="38"/>
      <c r="AC947" s="38"/>
      <c r="AD947" s="38"/>
      <c r="AE947" s="38"/>
      <c r="AF947" s="38"/>
      <c r="AG947" s="38"/>
      <c r="AH947" s="38"/>
      <c r="AI947" s="38"/>
      <c r="AJ947" s="38"/>
      <c r="AK947" s="38"/>
      <c r="AL947" s="38"/>
      <c r="AM947" s="38"/>
      <c r="AN947" s="38"/>
      <c r="AO947" s="38"/>
      <c r="AP947" s="38"/>
      <c r="AQ947" s="38"/>
      <c r="AR947" s="38"/>
      <c r="AS947" s="38"/>
      <c r="AT947" s="38"/>
      <c r="AU947" s="38"/>
      <c r="AV947" s="38"/>
      <c r="AW947" s="38"/>
      <c r="AX947" s="38"/>
      <c r="AY947" s="38"/>
      <c r="AZ947" s="38"/>
      <c r="BA947" s="38"/>
      <c r="BB947" s="38"/>
      <c r="BC947" s="38"/>
      <c r="BD947" s="38"/>
      <c r="BE947" s="38"/>
      <c r="BF947" s="38"/>
      <c r="BG947" s="38"/>
      <c r="BH947" s="38"/>
      <c r="BI947" s="38"/>
      <c r="BJ947" s="38"/>
      <c r="BK947" s="38"/>
      <c r="BL947" s="38"/>
      <c r="BM947" s="38"/>
      <c r="BN947" s="38"/>
      <c r="BO947" s="38"/>
      <c r="BP947" s="38"/>
      <c r="BQ947" s="38"/>
      <c r="BR947" s="38"/>
    </row>
    <row r="948" spans="1:70">
      <c r="A948" s="38"/>
      <c r="B948" s="38"/>
      <c r="C948" s="43"/>
      <c r="D948" s="38"/>
      <c r="E948" s="38"/>
      <c r="F948" s="43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38"/>
      <c r="V948" s="38"/>
      <c r="W948" s="38"/>
      <c r="X948" s="38"/>
      <c r="Y948" s="38"/>
      <c r="Z948" s="38"/>
      <c r="AA948" s="38"/>
      <c r="AB948" s="38"/>
      <c r="AC948" s="38"/>
      <c r="AD948" s="38"/>
      <c r="AE948" s="38"/>
      <c r="AF948" s="38"/>
      <c r="AG948" s="38"/>
      <c r="AH948" s="38"/>
      <c r="AI948" s="38"/>
      <c r="AJ948" s="38"/>
      <c r="AK948" s="38"/>
      <c r="AL948" s="38"/>
      <c r="AM948" s="38"/>
      <c r="AN948" s="38"/>
      <c r="AO948" s="38"/>
      <c r="AP948" s="38"/>
      <c r="AQ948" s="38"/>
      <c r="AR948" s="38"/>
      <c r="AS948" s="38"/>
      <c r="AT948" s="38"/>
      <c r="AU948" s="38"/>
      <c r="AV948" s="38"/>
      <c r="AW948" s="38"/>
      <c r="AX948" s="38"/>
      <c r="AY948" s="38"/>
      <c r="AZ948" s="38"/>
      <c r="BA948" s="38"/>
      <c r="BB948" s="38"/>
      <c r="BC948" s="38"/>
      <c r="BD948" s="38"/>
      <c r="BE948" s="38"/>
      <c r="BF948" s="38"/>
      <c r="BG948" s="38"/>
      <c r="BH948" s="38"/>
      <c r="BI948" s="38"/>
      <c r="BJ948" s="38"/>
      <c r="BK948" s="38"/>
      <c r="BL948" s="38"/>
      <c r="BM948" s="38"/>
      <c r="BN948" s="38"/>
      <c r="BO948" s="38"/>
      <c r="BP948" s="38"/>
      <c r="BQ948" s="38"/>
      <c r="BR948" s="38"/>
    </row>
    <row r="949" spans="1:70">
      <c r="A949" s="38"/>
      <c r="B949" s="38"/>
      <c r="C949" s="43"/>
      <c r="D949" s="38"/>
      <c r="E949" s="38"/>
      <c r="F949" s="43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38"/>
      <c r="V949" s="38"/>
      <c r="W949" s="38"/>
      <c r="X949" s="38"/>
      <c r="Y949" s="38"/>
      <c r="Z949" s="38"/>
      <c r="AA949" s="38"/>
      <c r="AB949" s="38"/>
      <c r="AC949" s="38"/>
      <c r="AD949" s="38"/>
      <c r="AE949" s="38"/>
      <c r="AF949" s="38"/>
      <c r="AG949" s="38"/>
      <c r="AH949" s="38"/>
      <c r="AI949" s="38"/>
      <c r="AJ949" s="38"/>
      <c r="AK949" s="38"/>
      <c r="AL949" s="38"/>
      <c r="AM949" s="38"/>
      <c r="AN949" s="38"/>
      <c r="AO949" s="38"/>
      <c r="AP949" s="38"/>
      <c r="AQ949" s="38"/>
      <c r="AR949" s="38"/>
      <c r="AS949" s="38"/>
      <c r="AT949" s="38"/>
      <c r="AU949" s="38"/>
      <c r="AV949" s="38"/>
      <c r="AW949" s="38"/>
      <c r="AX949" s="38"/>
      <c r="AY949" s="38"/>
      <c r="AZ949" s="38"/>
      <c r="BA949" s="38"/>
      <c r="BB949" s="38"/>
      <c r="BC949" s="38"/>
      <c r="BD949" s="38"/>
      <c r="BE949" s="38"/>
      <c r="BF949" s="38"/>
      <c r="BG949" s="38"/>
      <c r="BH949" s="38"/>
      <c r="BI949" s="38"/>
      <c r="BJ949" s="38"/>
      <c r="BK949" s="38"/>
      <c r="BL949" s="38"/>
      <c r="BM949" s="38"/>
      <c r="BN949" s="38"/>
      <c r="BO949" s="38"/>
      <c r="BP949" s="38"/>
      <c r="BQ949" s="38"/>
      <c r="BR949" s="38"/>
    </row>
    <row r="950" spans="1:70">
      <c r="A950" s="38"/>
      <c r="B950" s="38"/>
      <c r="C950" s="43"/>
      <c r="D950" s="38"/>
      <c r="E950" s="38"/>
      <c r="F950" s="43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38"/>
      <c r="V950" s="38"/>
      <c r="W950" s="38"/>
      <c r="X950" s="38"/>
      <c r="Y950" s="38"/>
      <c r="Z950" s="38"/>
      <c r="AA950" s="38"/>
      <c r="AB950" s="38"/>
      <c r="AC950" s="38"/>
      <c r="AD950" s="38"/>
      <c r="AE950" s="38"/>
      <c r="AF950" s="38"/>
      <c r="AG950" s="38"/>
      <c r="AH950" s="38"/>
      <c r="AI950" s="38"/>
      <c r="AJ950" s="38"/>
      <c r="AK950" s="38"/>
      <c r="AL950" s="38"/>
      <c r="AM950" s="38"/>
      <c r="AN950" s="38"/>
      <c r="AO950" s="38"/>
      <c r="AP950" s="38"/>
      <c r="AQ950" s="38"/>
      <c r="AR950" s="38"/>
      <c r="AS950" s="38"/>
      <c r="AT950" s="38"/>
      <c r="AU950" s="38"/>
      <c r="AV950" s="38"/>
      <c r="AW950" s="38"/>
      <c r="AX950" s="38"/>
      <c r="AY950" s="38"/>
      <c r="AZ950" s="38"/>
      <c r="BA950" s="38"/>
      <c r="BB950" s="38"/>
      <c r="BC950" s="38"/>
      <c r="BD950" s="38"/>
      <c r="BE950" s="38"/>
      <c r="BF950" s="38"/>
      <c r="BG950" s="38"/>
      <c r="BH950" s="38"/>
      <c r="BI950" s="38"/>
      <c r="BJ950" s="38"/>
      <c r="BK950" s="38"/>
      <c r="BL950" s="38"/>
      <c r="BM950" s="38"/>
      <c r="BN950" s="38"/>
      <c r="BO950" s="38"/>
      <c r="BP950" s="38"/>
      <c r="BQ950" s="38"/>
      <c r="BR950" s="38"/>
    </row>
    <row r="951" spans="1:70">
      <c r="A951" s="38"/>
      <c r="B951" s="38"/>
      <c r="C951" s="43"/>
      <c r="D951" s="38"/>
      <c r="E951" s="38"/>
      <c r="F951" s="43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38"/>
      <c r="V951" s="38"/>
      <c r="W951" s="38"/>
      <c r="X951" s="38"/>
      <c r="Y951" s="38"/>
      <c r="Z951" s="38"/>
      <c r="AA951" s="38"/>
      <c r="AB951" s="38"/>
      <c r="AC951" s="38"/>
      <c r="AD951" s="38"/>
      <c r="AE951" s="38"/>
      <c r="AF951" s="38"/>
      <c r="AG951" s="38"/>
      <c r="AH951" s="38"/>
      <c r="AI951" s="38"/>
      <c r="AJ951" s="38"/>
      <c r="AK951" s="38"/>
      <c r="AL951" s="38"/>
      <c r="AM951" s="38"/>
      <c r="AN951" s="38"/>
      <c r="AO951" s="38"/>
      <c r="AP951" s="38"/>
      <c r="AQ951" s="38"/>
      <c r="AR951" s="38"/>
      <c r="AS951" s="38"/>
      <c r="AT951" s="38"/>
      <c r="AU951" s="38"/>
      <c r="AV951" s="38"/>
      <c r="AW951" s="38"/>
      <c r="AX951" s="38"/>
      <c r="AY951" s="38"/>
      <c r="AZ951" s="38"/>
      <c r="BA951" s="38"/>
      <c r="BB951" s="38"/>
      <c r="BC951" s="38"/>
      <c r="BD951" s="38"/>
      <c r="BE951" s="38"/>
      <c r="BF951" s="38"/>
      <c r="BG951" s="38"/>
      <c r="BH951" s="38"/>
      <c r="BI951" s="38"/>
      <c r="BJ951" s="38"/>
      <c r="BK951" s="38"/>
      <c r="BL951" s="38"/>
      <c r="BM951" s="38"/>
      <c r="BN951" s="38"/>
      <c r="BO951" s="38"/>
      <c r="BP951" s="38"/>
      <c r="BQ951" s="38"/>
      <c r="BR951" s="38"/>
    </row>
    <row r="952" spans="1:70">
      <c r="A952" s="38"/>
      <c r="B952" s="38"/>
      <c r="C952" s="43"/>
      <c r="D952" s="38"/>
      <c r="E952" s="38"/>
      <c r="F952" s="43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38"/>
      <c r="V952" s="38"/>
      <c r="W952" s="38"/>
      <c r="X952" s="38"/>
      <c r="Y952" s="38"/>
      <c r="Z952" s="38"/>
      <c r="AA952" s="38"/>
      <c r="AB952" s="38"/>
      <c r="AC952" s="38"/>
      <c r="AD952" s="38"/>
      <c r="AE952" s="38"/>
      <c r="AF952" s="38"/>
      <c r="AG952" s="38"/>
      <c r="AH952" s="38"/>
      <c r="AI952" s="38"/>
      <c r="AJ952" s="38"/>
      <c r="AK952" s="38"/>
      <c r="AL952" s="38"/>
      <c r="AM952" s="38"/>
      <c r="AN952" s="38"/>
      <c r="AO952" s="38"/>
      <c r="AP952" s="38"/>
      <c r="AQ952" s="38"/>
      <c r="AR952" s="38"/>
      <c r="AS952" s="38"/>
      <c r="AT952" s="38"/>
      <c r="AU952" s="38"/>
      <c r="AV952" s="38"/>
      <c r="AW952" s="38"/>
      <c r="AX952" s="38"/>
      <c r="AY952" s="38"/>
      <c r="AZ952" s="38"/>
      <c r="BA952" s="38"/>
      <c r="BB952" s="38"/>
      <c r="BC952" s="38"/>
      <c r="BD952" s="38"/>
      <c r="BE952" s="38"/>
      <c r="BF952" s="38"/>
      <c r="BG952" s="38"/>
      <c r="BH952" s="38"/>
      <c r="BI952" s="38"/>
      <c r="BJ952" s="38"/>
      <c r="BK952" s="38"/>
      <c r="BL952" s="38"/>
      <c r="BM952" s="38"/>
      <c r="BN952" s="38"/>
      <c r="BO952" s="38"/>
      <c r="BP952" s="38"/>
      <c r="BQ952" s="38"/>
      <c r="BR952" s="38"/>
    </row>
    <row r="953" spans="1:70">
      <c r="A953" s="38"/>
      <c r="B953" s="38"/>
      <c r="C953" s="43"/>
      <c r="D953" s="38"/>
      <c r="E953" s="38"/>
      <c r="F953" s="43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V953" s="38"/>
      <c r="W953" s="38"/>
      <c r="X953" s="38"/>
      <c r="Y953" s="38"/>
      <c r="Z953" s="38"/>
      <c r="AA953" s="38"/>
      <c r="AB953" s="38"/>
      <c r="AC953" s="38"/>
      <c r="AD953" s="38"/>
      <c r="AE953" s="38"/>
      <c r="AF953" s="38"/>
      <c r="AG953" s="38"/>
      <c r="AH953" s="38"/>
      <c r="AI953" s="38"/>
      <c r="AJ953" s="38"/>
      <c r="AK953" s="38"/>
      <c r="AL953" s="38"/>
      <c r="AM953" s="38"/>
      <c r="AN953" s="38"/>
      <c r="AO953" s="38"/>
      <c r="AP953" s="38"/>
      <c r="AQ953" s="38"/>
      <c r="AR953" s="38"/>
      <c r="AS953" s="38"/>
      <c r="AT953" s="38"/>
      <c r="AU953" s="38"/>
      <c r="AV953" s="38"/>
      <c r="AW953" s="38"/>
      <c r="AX953" s="38"/>
      <c r="AY953" s="38"/>
      <c r="AZ953" s="38"/>
      <c r="BA953" s="38"/>
      <c r="BB953" s="38"/>
      <c r="BC953" s="38"/>
      <c r="BD953" s="38"/>
      <c r="BE953" s="38"/>
      <c r="BF953" s="38"/>
      <c r="BG953" s="38"/>
      <c r="BH953" s="38"/>
      <c r="BI953" s="38"/>
      <c r="BJ953" s="38"/>
      <c r="BK953" s="38"/>
      <c r="BL953" s="38"/>
      <c r="BM953" s="38"/>
      <c r="BN953" s="38"/>
      <c r="BO953" s="38"/>
      <c r="BP953" s="38"/>
      <c r="BQ953" s="38"/>
      <c r="BR953" s="38"/>
    </row>
    <row r="954" spans="1:70">
      <c r="A954" s="38"/>
      <c r="B954" s="38"/>
      <c r="C954" s="43"/>
      <c r="D954" s="38"/>
      <c r="E954" s="38"/>
      <c r="F954" s="43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38"/>
      <c r="V954" s="38"/>
      <c r="W954" s="38"/>
      <c r="X954" s="38"/>
      <c r="Y954" s="38"/>
      <c r="Z954" s="38"/>
      <c r="AA954" s="38"/>
      <c r="AB954" s="38"/>
      <c r="AC954" s="38"/>
      <c r="AD954" s="38"/>
      <c r="AE954" s="38"/>
      <c r="AF954" s="38"/>
      <c r="AG954" s="38"/>
      <c r="AH954" s="38"/>
      <c r="AI954" s="38"/>
      <c r="AJ954" s="38"/>
      <c r="AK954" s="38"/>
      <c r="AL954" s="38"/>
      <c r="AM954" s="38"/>
      <c r="AN954" s="38"/>
      <c r="AO954" s="38"/>
      <c r="AP954" s="38"/>
      <c r="AQ954" s="38"/>
      <c r="AR954" s="38"/>
      <c r="AS954" s="38"/>
      <c r="AT954" s="38"/>
      <c r="AU954" s="38"/>
      <c r="AV954" s="38"/>
      <c r="AW954" s="38"/>
      <c r="AX954" s="38"/>
      <c r="AY954" s="38"/>
      <c r="AZ954" s="38"/>
      <c r="BA954" s="38"/>
      <c r="BB954" s="38"/>
      <c r="BC954" s="38"/>
      <c r="BD954" s="38"/>
      <c r="BE954" s="38"/>
      <c r="BF954" s="38"/>
      <c r="BG954" s="38"/>
      <c r="BH954" s="38"/>
      <c r="BI954" s="38"/>
      <c r="BJ954" s="38"/>
      <c r="BK954" s="38"/>
      <c r="BL954" s="38"/>
      <c r="BM954" s="38"/>
      <c r="BN954" s="38"/>
      <c r="BO954" s="38"/>
      <c r="BP954" s="38"/>
      <c r="BQ954" s="38"/>
      <c r="BR954" s="38"/>
    </row>
    <row r="955" spans="1:70">
      <c r="A955" s="38"/>
      <c r="B955" s="38"/>
      <c r="C955" s="43"/>
      <c r="D955" s="38"/>
      <c r="E955" s="38"/>
      <c r="F955" s="43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38"/>
      <c r="V955" s="38"/>
      <c r="W955" s="38"/>
      <c r="X955" s="38"/>
      <c r="Y955" s="38"/>
      <c r="Z955" s="38"/>
      <c r="AA955" s="38"/>
      <c r="AB955" s="38"/>
      <c r="AC955" s="38"/>
      <c r="AD955" s="38"/>
      <c r="AE955" s="38"/>
      <c r="AF955" s="38"/>
      <c r="AG955" s="38"/>
      <c r="AH955" s="38"/>
      <c r="AI955" s="38"/>
      <c r="AJ955" s="38"/>
      <c r="AK955" s="38"/>
      <c r="AL955" s="38"/>
      <c r="AM955" s="38"/>
      <c r="AN955" s="38"/>
      <c r="AO955" s="38"/>
      <c r="AP955" s="38"/>
      <c r="AQ955" s="38"/>
      <c r="AR955" s="38"/>
      <c r="AS955" s="38"/>
      <c r="AT955" s="38"/>
      <c r="AU955" s="38"/>
      <c r="AV955" s="38"/>
      <c r="AW955" s="38"/>
      <c r="AX955" s="38"/>
      <c r="AY955" s="38"/>
      <c r="AZ955" s="38"/>
      <c r="BA955" s="38"/>
      <c r="BB955" s="38"/>
      <c r="BC955" s="38"/>
      <c r="BD955" s="38"/>
      <c r="BE955" s="38"/>
      <c r="BF955" s="38"/>
      <c r="BG955" s="38"/>
      <c r="BH955" s="38"/>
      <c r="BI955" s="38"/>
      <c r="BJ955" s="38"/>
      <c r="BK955" s="38"/>
      <c r="BL955" s="38"/>
      <c r="BM955" s="38"/>
      <c r="BN955" s="38"/>
      <c r="BO955" s="38"/>
      <c r="BP955" s="38"/>
      <c r="BQ955" s="38"/>
      <c r="BR955" s="38"/>
    </row>
    <row r="956" spans="1:70">
      <c r="A956" s="38"/>
      <c r="B956" s="38"/>
      <c r="C956" s="43"/>
      <c r="D956" s="38"/>
      <c r="E956" s="38"/>
      <c r="F956" s="43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38"/>
      <c r="V956" s="38"/>
      <c r="W956" s="38"/>
      <c r="X956" s="38"/>
      <c r="Y956" s="38"/>
      <c r="Z956" s="38"/>
      <c r="AA956" s="38"/>
      <c r="AB956" s="38"/>
      <c r="AC956" s="38"/>
      <c r="AD956" s="38"/>
      <c r="AE956" s="38"/>
      <c r="AF956" s="38"/>
      <c r="AG956" s="38"/>
      <c r="AH956" s="38"/>
      <c r="AI956" s="38"/>
      <c r="AJ956" s="38"/>
      <c r="AK956" s="38"/>
      <c r="AL956" s="38"/>
      <c r="AM956" s="38"/>
      <c r="AN956" s="38"/>
      <c r="AO956" s="38"/>
      <c r="AP956" s="38"/>
      <c r="AQ956" s="38"/>
      <c r="AR956" s="38"/>
      <c r="AS956" s="38"/>
      <c r="AT956" s="38"/>
      <c r="AU956" s="38"/>
      <c r="AV956" s="38"/>
      <c r="AW956" s="38"/>
      <c r="AX956" s="38"/>
      <c r="AY956" s="38"/>
      <c r="AZ956" s="38"/>
      <c r="BA956" s="38"/>
      <c r="BB956" s="38"/>
      <c r="BC956" s="38"/>
      <c r="BD956" s="38"/>
      <c r="BE956" s="38"/>
      <c r="BF956" s="38"/>
      <c r="BG956" s="38"/>
      <c r="BH956" s="38"/>
      <c r="BI956" s="38"/>
      <c r="BJ956" s="38"/>
      <c r="BK956" s="38"/>
      <c r="BL956" s="38"/>
      <c r="BM956" s="38"/>
      <c r="BN956" s="38"/>
      <c r="BO956" s="38"/>
      <c r="BP956" s="38"/>
      <c r="BQ956" s="38"/>
      <c r="BR956" s="38"/>
    </row>
    <row r="957" spans="1:70">
      <c r="A957" s="38"/>
      <c r="B957" s="38"/>
      <c r="C957" s="43"/>
      <c r="D957" s="38"/>
      <c r="E957" s="38"/>
      <c r="F957" s="43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38"/>
      <c r="V957" s="38"/>
      <c r="W957" s="38"/>
      <c r="X957" s="38"/>
      <c r="Y957" s="38"/>
      <c r="Z957" s="38"/>
      <c r="AA957" s="38"/>
      <c r="AB957" s="38"/>
      <c r="AC957" s="38"/>
      <c r="AD957" s="38"/>
      <c r="AE957" s="38"/>
      <c r="AF957" s="38"/>
      <c r="AG957" s="38"/>
      <c r="AH957" s="38"/>
      <c r="AI957" s="38"/>
      <c r="AJ957" s="38"/>
      <c r="AK957" s="38"/>
      <c r="AL957" s="38"/>
      <c r="AM957" s="38"/>
      <c r="AN957" s="38"/>
      <c r="AO957" s="38"/>
      <c r="AP957" s="38"/>
      <c r="AQ957" s="38"/>
      <c r="AR957" s="38"/>
      <c r="AS957" s="38"/>
      <c r="AT957" s="38"/>
      <c r="AU957" s="38"/>
      <c r="AV957" s="38"/>
      <c r="AW957" s="38"/>
      <c r="AX957" s="38"/>
      <c r="AY957" s="38"/>
      <c r="AZ957" s="38"/>
      <c r="BA957" s="38"/>
      <c r="BB957" s="38"/>
      <c r="BC957" s="38"/>
      <c r="BD957" s="38"/>
      <c r="BE957" s="38"/>
      <c r="BF957" s="38"/>
      <c r="BG957" s="38"/>
      <c r="BH957" s="38"/>
      <c r="BI957" s="38"/>
      <c r="BJ957" s="38"/>
      <c r="BK957" s="38"/>
      <c r="BL957" s="38"/>
      <c r="BM957" s="38"/>
      <c r="BN957" s="38"/>
      <c r="BO957" s="38"/>
      <c r="BP957" s="38"/>
      <c r="BQ957" s="38"/>
      <c r="BR957" s="38"/>
    </row>
    <row r="958" spans="1:70">
      <c r="A958" s="38"/>
      <c r="B958" s="38"/>
      <c r="C958" s="43"/>
      <c r="D958" s="38"/>
      <c r="E958" s="38"/>
      <c r="F958" s="43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38"/>
      <c r="V958" s="38"/>
      <c r="W958" s="38"/>
      <c r="X958" s="38"/>
      <c r="Y958" s="38"/>
      <c r="Z958" s="38"/>
      <c r="AA958" s="38"/>
      <c r="AB958" s="38"/>
      <c r="AC958" s="38"/>
      <c r="AD958" s="38"/>
      <c r="AE958" s="38"/>
      <c r="AF958" s="38"/>
      <c r="AG958" s="38"/>
      <c r="AH958" s="38"/>
      <c r="AI958" s="38"/>
      <c r="AJ958" s="38"/>
      <c r="AK958" s="38"/>
      <c r="AL958" s="38"/>
      <c r="AM958" s="38"/>
      <c r="AN958" s="38"/>
      <c r="AO958" s="38"/>
      <c r="AP958" s="38"/>
      <c r="AQ958" s="38"/>
      <c r="AR958" s="38"/>
      <c r="AS958" s="38"/>
      <c r="AT958" s="38"/>
      <c r="AU958" s="38"/>
      <c r="AV958" s="38"/>
      <c r="AW958" s="38"/>
      <c r="AX958" s="38"/>
      <c r="AY958" s="38"/>
      <c r="AZ958" s="38"/>
      <c r="BA958" s="38"/>
      <c r="BB958" s="38"/>
      <c r="BC958" s="38"/>
      <c r="BD958" s="38"/>
      <c r="BE958" s="38"/>
      <c r="BF958" s="38"/>
      <c r="BG958" s="38"/>
      <c r="BH958" s="38"/>
      <c r="BI958" s="38"/>
      <c r="BJ958" s="38"/>
      <c r="BK958" s="38"/>
      <c r="BL958" s="38"/>
      <c r="BM958" s="38"/>
      <c r="BN958" s="38"/>
      <c r="BO958" s="38"/>
      <c r="BP958" s="38"/>
      <c r="BQ958" s="38"/>
      <c r="BR958" s="38"/>
    </row>
    <row r="959" spans="1:70">
      <c r="A959" s="38"/>
      <c r="B959" s="38"/>
      <c r="C959" s="43"/>
      <c r="D959" s="38"/>
      <c r="E959" s="38"/>
      <c r="F959" s="43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38"/>
      <c r="V959" s="38"/>
      <c r="W959" s="38"/>
      <c r="X959" s="38"/>
      <c r="Y959" s="38"/>
      <c r="Z959" s="38"/>
      <c r="AA959" s="38"/>
      <c r="AB959" s="38"/>
      <c r="AC959" s="38"/>
      <c r="AD959" s="38"/>
      <c r="AE959" s="38"/>
      <c r="AF959" s="38"/>
      <c r="AG959" s="38"/>
      <c r="AH959" s="38"/>
      <c r="AI959" s="38"/>
      <c r="AJ959" s="38"/>
      <c r="AK959" s="38"/>
      <c r="AL959" s="38"/>
      <c r="AM959" s="38"/>
      <c r="AN959" s="38"/>
      <c r="AO959" s="38"/>
      <c r="AP959" s="38"/>
      <c r="AQ959" s="38"/>
      <c r="AR959" s="38"/>
      <c r="AS959" s="38"/>
      <c r="AT959" s="38"/>
      <c r="AU959" s="38"/>
      <c r="AV959" s="38"/>
      <c r="AW959" s="38"/>
      <c r="AX959" s="38"/>
      <c r="AY959" s="38"/>
      <c r="AZ959" s="38"/>
      <c r="BA959" s="38"/>
      <c r="BB959" s="38"/>
      <c r="BC959" s="38"/>
      <c r="BD959" s="38"/>
      <c r="BE959" s="38"/>
      <c r="BF959" s="38"/>
      <c r="BG959" s="38"/>
      <c r="BH959" s="38"/>
      <c r="BI959" s="38"/>
      <c r="BJ959" s="38"/>
      <c r="BK959" s="38"/>
      <c r="BL959" s="38"/>
      <c r="BM959" s="38"/>
      <c r="BN959" s="38"/>
      <c r="BO959" s="38"/>
      <c r="BP959" s="38"/>
      <c r="BQ959" s="38"/>
      <c r="BR959" s="38"/>
    </row>
    <row r="960" spans="1:70">
      <c r="A960" s="38"/>
      <c r="B960" s="38"/>
      <c r="C960" s="43"/>
      <c r="D960" s="38"/>
      <c r="E960" s="38"/>
      <c r="F960" s="43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38"/>
      <c r="V960" s="38"/>
      <c r="W960" s="38"/>
      <c r="X960" s="38"/>
      <c r="Y960" s="38"/>
      <c r="Z960" s="38"/>
      <c r="AA960" s="38"/>
      <c r="AB960" s="38"/>
      <c r="AC960" s="38"/>
      <c r="AD960" s="38"/>
      <c r="AE960" s="38"/>
      <c r="AF960" s="38"/>
      <c r="AG960" s="38"/>
      <c r="AH960" s="38"/>
      <c r="AI960" s="38"/>
      <c r="AJ960" s="38"/>
      <c r="AK960" s="38"/>
      <c r="AL960" s="38"/>
      <c r="AM960" s="38"/>
      <c r="AN960" s="38"/>
      <c r="AO960" s="38"/>
      <c r="AP960" s="38"/>
      <c r="AQ960" s="38"/>
      <c r="AR960" s="38"/>
      <c r="AS960" s="38"/>
      <c r="AT960" s="38"/>
      <c r="AU960" s="38"/>
      <c r="AV960" s="38"/>
      <c r="AW960" s="38"/>
      <c r="AX960" s="38"/>
      <c r="AY960" s="38"/>
      <c r="AZ960" s="38"/>
      <c r="BA960" s="38"/>
      <c r="BB960" s="38"/>
      <c r="BC960" s="38"/>
      <c r="BD960" s="38"/>
      <c r="BE960" s="38"/>
      <c r="BF960" s="38"/>
      <c r="BG960" s="38"/>
      <c r="BH960" s="38"/>
      <c r="BI960" s="38"/>
      <c r="BJ960" s="38"/>
      <c r="BK960" s="38"/>
      <c r="BL960" s="38"/>
      <c r="BM960" s="38"/>
      <c r="BN960" s="38"/>
      <c r="BO960" s="38"/>
      <c r="BP960" s="38"/>
      <c r="BQ960" s="38"/>
      <c r="BR960" s="38"/>
    </row>
    <row r="961" spans="1:70">
      <c r="A961" s="38"/>
      <c r="B961" s="38"/>
      <c r="C961" s="43"/>
      <c r="D961" s="38"/>
      <c r="E961" s="38"/>
      <c r="F961" s="43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38"/>
      <c r="V961" s="38"/>
      <c r="W961" s="38"/>
      <c r="X961" s="38"/>
      <c r="Y961" s="38"/>
      <c r="Z961" s="38"/>
      <c r="AA961" s="38"/>
      <c r="AB961" s="38"/>
      <c r="AC961" s="38"/>
      <c r="AD961" s="38"/>
      <c r="AE961" s="38"/>
      <c r="AF961" s="38"/>
      <c r="AG961" s="38"/>
      <c r="AH961" s="38"/>
      <c r="AI961" s="38"/>
      <c r="AJ961" s="38"/>
      <c r="AK961" s="38"/>
      <c r="AL961" s="38"/>
      <c r="AM961" s="38"/>
      <c r="AN961" s="38"/>
      <c r="AO961" s="38"/>
      <c r="AP961" s="38"/>
      <c r="AQ961" s="38"/>
      <c r="AR961" s="38"/>
      <c r="AS961" s="38"/>
      <c r="AT961" s="38"/>
      <c r="AU961" s="38"/>
      <c r="AV961" s="38"/>
      <c r="AW961" s="38"/>
      <c r="AX961" s="38"/>
      <c r="AY961" s="38"/>
      <c r="AZ961" s="38"/>
      <c r="BA961" s="38"/>
      <c r="BB961" s="38"/>
      <c r="BC961" s="38"/>
      <c r="BD961" s="38"/>
      <c r="BE961" s="38"/>
      <c r="BF961" s="38"/>
      <c r="BG961" s="38"/>
      <c r="BH961" s="38"/>
      <c r="BI961" s="38"/>
      <c r="BJ961" s="38"/>
      <c r="BK961" s="38"/>
      <c r="BL961" s="38"/>
      <c r="BM961" s="38"/>
      <c r="BN961" s="38"/>
      <c r="BO961" s="38"/>
      <c r="BP961" s="38"/>
      <c r="BQ961" s="38"/>
      <c r="BR961" s="38"/>
    </row>
    <row r="962" spans="1:70">
      <c r="A962" s="38"/>
      <c r="B962" s="38"/>
      <c r="C962" s="43"/>
      <c r="D962" s="38"/>
      <c r="E962" s="38"/>
      <c r="F962" s="43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38"/>
      <c r="V962" s="38"/>
      <c r="W962" s="38"/>
      <c r="X962" s="38"/>
      <c r="Y962" s="38"/>
      <c r="Z962" s="38"/>
      <c r="AA962" s="38"/>
      <c r="AB962" s="38"/>
      <c r="AC962" s="38"/>
      <c r="AD962" s="38"/>
      <c r="AE962" s="38"/>
      <c r="AF962" s="38"/>
      <c r="AG962" s="38"/>
      <c r="AH962" s="38"/>
      <c r="AI962" s="38"/>
      <c r="AJ962" s="38"/>
      <c r="AK962" s="38"/>
      <c r="AL962" s="38"/>
      <c r="AM962" s="38"/>
      <c r="AN962" s="38"/>
      <c r="AO962" s="38"/>
      <c r="AP962" s="38"/>
      <c r="AQ962" s="38"/>
      <c r="AR962" s="38"/>
      <c r="AS962" s="38"/>
      <c r="AT962" s="38"/>
      <c r="AU962" s="38"/>
      <c r="AV962" s="38"/>
      <c r="AW962" s="38"/>
      <c r="AX962" s="38"/>
      <c r="AY962" s="38"/>
      <c r="AZ962" s="38"/>
      <c r="BA962" s="38"/>
      <c r="BB962" s="38"/>
      <c r="BC962" s="38"/>
      <c r="BD962" s="38"/>
      <c r="BE962" s="38"/>
      <c r="BF962" s="38"/>
      <c r="BG962" s="38"/>
      <c r="BH962" s="38"/>
      <c r="BI962" s="38"/>
      <c r="BJ962" s="38"/>
      <c r="BK962" s="38"/>
      <c r="BL962" s="38"/>
      <c r="BM962" s="38"/>
      <c r="BN962" s="38"/>
      <c r="BO962" s="38"/>
      <c r="BP962" s="38"/>
      <c r="BQ962" s="38"/>
      <c r="BR962" s="38"/>
    </row>
    <row r="963" spans="1:70">
      <c r="A963" s="38"/>
      <c r="B963" s="38"/>
      <c r="C963" s="43"/>
      <c r="D963" s="38"/>
      <c r="E963" s="38"/>
      <c r="F963" s="43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38"/>
      <c r="V963" s="38"/>
      <c r="W963" s="38"/>
      <c r="X963" s="38"/>
      <c r="Y963" s="38"/>
      <c r="Z963" s="38"/>
      <c r="AA963" s="38"/>
      <c r="AB963" s="38"/>
      <c r="AC963" s="38"/>
      <c r="AD963" s="38"/>
      <c r="AE963" s="38"/>
      <c r="AF963" s="38"/>
      <c r="AG963" s="38"/>
      <c r="AH963" s="38"/>
      <c r="AI963" s="38"/>
      <c r="AJ963" s="38"/>
      <c r="AK963" s="38"/>
      <c r="AL963" s="38"/>
      <c r="AM963" s="38"/>
      <c r="AN963" s="38"/>
      <c r="AO963" s="38"/>
      <c r="AP963" s="38"/>
      <c r="AQ963" s="38"/>
      <c r="AR963" s="38"/>
      <c r="AS963" s="38"/>
      <c r="AT963" s="38"/>
      <c r="AU963" s="38"/>
      <c r="AV963" s="38"/>
      <c r="AW963" s="38"/>
      <c r="AX963" s="38"/>
      <c r="AY963" s="38"/>
      <c r="AZ963" s="38"/>
      <c r="BA963" s="38"/>
      <c r="BB963" s="38"/>
      <c r="BC963" s="38"/>
      <c r="BD963" s="38"/>
      <c r="BE963" s="38"/>
      <c r="BF963" s="38"/>
      <c r="BG963" s="38"/>
      <c r="BH963" s="38"/>
      <c r="BI963" s="38"/>
      <c r="BJ963" s="38"/>
      <c r="BK963" s="38"/>
      <c r="BL963" s="38"/>
      <c r="BM963" s="38"/>
      <c r="BN963" s="38"/>
      <c r="BO963" s="38"/>
      <c r="BP963" s="38"/>
      <c r="BQ963" s="38"/>
      <c r="BR963" s="38"/>
    </row>
    <row r="964" spans="1:70">
      <c r="A964" s="38"/>
      <c r="B964" s="38"/>
      <c r="C964" s="43"/>
      <c r="D964" s="38"/>
      <c r="E964" s="38"/>
      <c r="F964" s="43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38"/>
      <c r="V964" s="38"/>
      <c r="W964" s="38"/>
      <c r="X964" s="38"/>
      <c r="Y964" s="38"/>
      <c r="Z964" s="38"/>
      <c r="AA964" s="38"/>
      <c r="AB964" s="38"/>
      <c r="AC964" s="38"/>
      <c r="AD964" s="38"/>
      <c r="AE964" s="38"/>
      <c r="AF964" s="38"/>
      <c r="AG964" s="38"/>
      <c r="AH964" s="38"/>
      <c r="AI964" s="38"/>
      <c r="AJ964" s="38"/>
      <c r="AK964" s="38"/>
      <c r="AL964" s="38"/>
      <c r="AM964" s="38"/>
      <c r="AN964" s="38"/>
      <c r="AO964" s="38"/>
      <c r="AP964" s="38"/>
      <c r="AQ964" s="38"/>
      <c r="AR964" s="38"/>
      <c r="AS964" s="38"/>
      <c r="AT964" s="38"/>
      <c r="AU964" s="38"/>
      <c r="AV964" s="38"/>
      <c r="AW964" s="38"/>
      <c r="AX964" s="38"/>
      <c r="AY964" s="38"/>
      <c r="AZ964" s="38"/>
      <c r="BA964" s="38"/>
      <c r="BB964" s="38"/>
      <c r="BC964" s="38"/>
      <c r="BD964" s="38"/>
      <c r="BE964" s="38"/>
      <c r="BF964" s="38"/>
      <c r="BG964" s="38"/>
      <c r="BH964" s="38"/>
      <c r="BI964" s="38"/>
      <c r="BJ964" s="38"/>
      <c r="BK964" s="38"/>
      <c r="BL964" s="38"/>
      <c r="BM964" s="38"/>
      <c r="BN964" s="38"/>
      <c r="BO964" s="38"/>
      <c r="BP964" s="38"/>
      <c r="BQ964" s="38"/>
      <c r="BR964" s="38"/>
    </row>
    <row r="965" spans="1:70">
      <c r="A965" s="38"/>
      <c r="B965" s="38"/>
      <c r="C965" s="43"/>
      <c r="D965" s="38"/>
      <c r="E965" s="38"/>
      <c r="F965" s="43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38"/>
      <c r="V965" s="38"/>
      <c r="W965" s="38"/>
      <c r="X965" s="38"/>
      <c r="Y965" s="38"/>
      <c r="Z965" s="38"/>
      <c r="AA965" s="38"/>
      <c r="AB965" s="38"/>
      <c r="AC965" s="38"/>
      <c r="AD965" s="38"/>
      <c r="AE965" s="38"/>
      <c r="AF965" s="38"/>
      <c r="AG965" s="38"/>
      <c r="AH965" s="38"/>
      <c r="AI965" s="38"/>
      <c r="AJ965" s="38"/>
      <c r="AK965" s="38"/>
      <c r="AL965" s="38"/>
      <c r="AM965" s="38"/>
      <c r="AN965" s="38"/>
      <c r="AO965" s="38"/>
      <c r="AP965" s="38"/>
      <c r="AQ965" s="38"/>
      <c r="AR965" s="38"/>
      <c r="AS965" s="38"/>
      <c r="AT965" s="38"/>
      <c r="AU965" s="38"/>
      <c r="AV965" s="38"/>
      <c r="AW965" s="38"/>
      <c r="AX965" s="38"/>
      <c r="AY965" s="38"/>
      <c r="AZ965" s="38"/>
      <c r="BA965" s="38"/>
      <c r="BB965" s="38"/>
      <c r="BC965" s="38"/>
      <c r="BD965" s="38"/>
      <c r="BE965" s="38"/>
      <c r="BF965" s="38"/>
      <c r="BG965" s="38"/>
      <c r="BH965" s="38"/>
      <c r="BI965" s="38"/>
      <c r="BJ965" s="38"/>
      <c r="BK965" s="38"/>
      <c r="BL965" s="38"/>
      <c r="BM965" s="38"/>
      <c r="BN965" s="38"/>
      <c r="BO965" s="38"/>
      <c r="BP965" s="38"/>
      <c r="BQ965" s="38"/>
      <c r="BR965" s="38"/>
    </row>
    <row r="966" spans="1:70">
      <c r="A966" s="38"/>
      <c r="B966" s="38"/>
      <c r="C966" s="43"/>
      <c r="D966" s="38"/>
      <c r="E966" s="38"/>
      <c r="F966" s="43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38"/>
      <c r="V966" s="38"/>
      <c r="W966" s="38"/>
      <c r="X966" s="38"/>
      <c r="Y966" s="38"/>
      <c r="Z966" s="38"/>
      <c r="AA966" s="38"/>
      <c r="AB966" s="38"/>
      <c r="AC966" s="38"/>
      <c r="AD966" s="38"/>
      <c r="AE966" s="38"/>
      <c r="AF966" s="38"/>
      <c r="AG966" s="38"/>
      <c r="AH966" s="38"/>
      <c r="AI966" s="38"/>
      <c r="AJ966" s="38"/>
      <c r="AK966" s="38"/>
      <c r="AL966" s="38"/>
      <c r="AM966" s="38"/>
      <c r="AN966" s="38"/>
      <c r="AO966" s="38"/>
      <c r="AP966" s="38"/>
      <c r="AQ966" s="38"/>
      <c r="AR966" s="38"/>
      <c r="AS966" s="38"/>
      <c r="AT966" s="38"/>
      <c r="AU966" s="38"/>
      <c r="AV966" s="38"/>
      <c r="AW966" s="38"/>
      <c r="AX966" s="38"/>
      <c r="AY966" s="38"/>
      <c r="AZ966" s="38"/>
      <c r="BA966" s="38"/>
      <c r="BB966" s="38"/>
      <c r="BC966" s="38"/>
      <c r="BD966" s="38"/>
      <c r="BE966" s="38"/>
      <c r="BF966" s="38"/>
      <c r="BG966" s="38"/>
      <c r="BH966" s="38"/>
      <c r="BI966" s="38"/>
      <c r="BJ966" s="38"/>
      <c r="BK966" s="38"/>
      <c r="BL966" s="38"/>
      <c r="BM966" s="38"/>
      <c r="BN966" s="38"/>
      <c r="BO966" s="38"/>
      <c r="BP966" s="38"/>
      <c r="BQ966" s="38"/>
      <c r="BR966" s="38"/>
    </row>
    <row r="967" spans="1:70">
      <c r="A967" s="38"/>
      <c r="B967" s="38"/>
      <c r="C967" s="43"/>
      <c r="D967" s="38"/>
      <c r="E967" s="38"/>
      <c r="F967" s="43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38"/>
      <c r="V967" s="38"/>
      <c r="W967" s="38"/>
      <c r="X967" s="38"/>
      <c r="Y967" s="38"/>
      <c r="Z967" s="38"/>
      <c r="AA967" s="38"/>
      <c r="AB967" s="38"/>
      <c r="AC967" s="38"/>
      <c r="AD967" s="38"/>
      <c r="AE967" s="38"/>
      <c r="AF967" s="38"/>
      <c r="AG967" s="38"/>
      <c r="AH967" s="38"/>
      <c r="AI967" s="38"/>
      <c r="AJ967" s="38"/>
      <c r="AK967" s="38"/>
      <c r="AL967" s="38"/>
      <c r="AM967" s="38"/>
      <c r="AN967" s="38"/>
      <c r="AO967" s="38"/>
      <c r="AP967" s="38"/>
      <c r="AQ967" s="38"/>
      <c r="AR967" s="38"/>
      <c r="AS967" s="38"/>
      <c r="AT967" s="38"/>
      <c r="AU967" s="38"/>
      <c r="AV967" s="38"/>
      <c r="AW967" s="38"/>
      <c r="AX967" s="38"/>
      <c r="AY967" s="38"/>
      <c r="AZ967" s="38"/>
      <c r="BA967" s="38"/>
      <c r="BB967" s="38"/>
      <c r="BC967" s="38"/>
      <c r="BD967" s="38"/>
      <c r="BE967" s="38"/>
      <c r="BF967" s="38"/>
      <c r="BG967" s="38"/>
      <c r="BH967" s="38"/>
      <c r="BI967" s="38"/>
      <c r="BJ967" s="38"/>
      <c r="BK967" s="38"/>
      <c r="BL967" s="38"/>
      <c r="BM967" s="38"/>
      <c r="BN967" s="38"/>
      <c r="BO967" s="38"/>
      <c r="BP967" s="38"/>
      <c r="BQ967" s="38"/>
      <c r="BR967" s="38"/>
    </row>
    <row r="968" spans="1:70">
      <c r="A968" s="38"/>
      <c r="B968" s="38"/>
      <c r="C968" s="43"/>
      <c r="D968" s="38"/>
      <c r="E968" s="38"/>
      <c r="F968" s="43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38"/>
      <c r="V968" s="38"/>
      <c r="W968" s="38"/>
      <c r="X968" s="38"/>
      <c r="Y968" s="38"/>
      <c r="Z968" s="38"/>
      <c r="AA968" s="38"/>
      <c r="AB968" s="38"/>
      <c r="AC968" s="38"/>
      <c r="AD968" s="38"/>
      <c r="AE968" s="38"/>
      <c r="AF968" s="38"/>
      <c r="AG968" s="38"/>
      <c r="AH968" s="38"/>
      <c r="AI968" s="38"/>
      <c r="AJ968" s="38"/>
      <c r="AK968" s="38"/>
      <c r="AL968" s="38"/>
      <c r="AM968" s="38"/>
      <c r="AN968" s="38"/>
      <c r="AO968" s="38"/>
      <c r="AP968" s="38"/>
      <c r="AQ968" s="38"/>
      <c r="AR968" s="38"/>
      <c r="AS968" s="38"/>
      <c r="AT968" s="38"/>
      <c r="AU968" s="38"/>
      <c r="AV968" s="38"/>
      <c r="AW968" s="38"/>
      <c r="AX968" s="38"/>
      <c r="AY968" s="38"/>
      <c r="AZ968" s="38"/>
      <c r="BA968" s="38"/>
      <c r="BB968" s="38"/>
      <c r="BC968" s="38"/>
      <c r="BD968" s="38"/>
      <c r="BE968" s="38"/>
      <c r="BF968" s="38"/>
      <c r="BG968" s="38"/>
      <c r="BH968" s="38"/>
      <c r="BI968" s="38"/>
      <c r="BJ968" s="38"/>
      <c r="BK968" s="38"/>
      <c r="BL968" s="38"/>
      <c r="BM968" s="38"/>
      <c r="BN968" s="38"/>
      <c r="BO968" s="38"/>
      <c r="BP968" s="38"/>
      <c r="BQ968" s="38"/>
      <c r="BR968" s="38"/>
    </row>
    <row r="969" spans="1:70">
      <c r="A969" s="38"/>
      <c r="B969" s="38"/>
      <c r="C969" s="43"/>
      <c r="D969" s="38"/>
      <c r="E969" s="38"/>
      <c r="F969" s="43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38"/>
      <c r="V969" s="38"/>
      <c r="W969" s="38"/>
      <c r="X969" s="38"/>
      <c r="Y969" s="38"/>
      <c r="Z969" s="38"/>
      <c r="AA969" s="38"/>
      <c r="AB969" s="38"/>
      <c r="AC969" s="38"/>
      <c r="AD969" s="38"/>
      <c r="AE969" s="38"/>
      <c r="AF969" s="38"/>
      <c r="AG969" s="38"/>
      <c r="AH969" s="38"/>
      <c r="AI969" s="38"/>
      <c r="AJ969" s="38"/>
      <c r="AK969" s="38"/>
      <c r="AL969" s="38"/>
      <c r="AM969" s="38"/>
      <c r="AN969" s="38"/>
      <c r="AO969" s="38"/>
      <c r="AP969" s="38"/>
      <c r="AQ969" s="38"/>
      <c r="AR969" s="38"/>
      <c r="AS969" s="38"/>
      <c r="AT969" s="38"/>
      <c r="AU969" s="38"/>
      <c r="AV969" s="38"/>
      <c r="AW969" s="38"/>
      <c r="AX969" s="38"/>
      <c r="AY969" s="38"/>
      <c r="AZ969" s="38"/>
      <c r="BA969" s="38"/>
      <c r="BB969" s="38"/>
      <c r="BC969" s="38"/>
      <c r="BD969" s="38"/>
      <c r="BE969" s="38"/>
      <c r="BF969" s="38"/>
      <c r="BG969" s="38"/>
      <c r="BH969" s="38"/>
      <c r="BI969" s="38"/>
      <c r="BJ969" s="38"/>
      <c r="BK969" s="38"/>
      <c r="BL969" s="38"/>
      <c r="BM969" s="38"/>
      <c r="BN969" s="38"/>
      <c r="BO969" s="38"/>
      <c r="BP969" s="38"/>
      <c r="BQ969" s="38"/>
      <c r="BR969" s="38"/>
    </row>
    <row r="970" spans="1:70">
      <c r="A970" s="38"/>
      <c r="B970" s="38"/>
      <c r="C970" s="43"/>
      <c r="D970" s="38"/>
      <c r="E970" s="38"/>
      <c r="F970" s="43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38"/>
      <c r="V970" s="38"/>
      <c r="W970" s="38"/>
      <c r="X970" s="38"/>
      <c r="Y970" s="38"/>
      <c r="Z970" s="38"/>
      <c r="AA970" s="38"/>
      <c r="AB970" s="38"/>
      <c r="AC970" s="38"/>
      <c r="AD970" s="38"/>
      <c r="AE970" s="38"/>
      <c r="AF970" s="38"/>
      <c r="AG970" s="38"/>
      <c r="AH970" s="38"/>
      <c r="AI970" s="38"/>
      <c r="AJ970" s="38"/>
      <c r="AK970" s="38"/>
      <c r="AL970" s="38"/>
      <c r="AM970" s="38"/>
      <c r="AN970" s="38"/>
      <c r="AO970" s="38"/>
      <c r="AP970" s="38"/>
      <c r="AQ970" s="38"/>
      <c r="AR970" s="38"/>
      <c r="AS970" s="38"/>
      <c r="AT970" s="38"/>
      <c r="AU970" s="38"/>
      <c r="AV970" s="38"/>
      <c r="AW970" s="38"/>
      <c r="AX970" s="38"/>
      <c r="AY970" s="38"/>
      <c r="AZ970" s="38"/>
      <c r="BA970" s="38"/>
      <c r="BB970" s="38"/>
      <c r="BC970" s="38"/>
      <c r="BD970" s="38"/>
      <c r="BE970" s="38"/>
      <c r="BF970" s="38"/>
      <c r="BG970" s="38"/>
      <c r="BH970" s="38"/>
      <c r="BI970" s="38"/>
      <c r="BJ970" s="38"/>
      <c r="BK970" s="38"/>
      <c r="BL970" s="38"/>
      <c r="BM970" s="38"/>
      <c r="BN970" s="38"/>
      <c r="BO970" s="38"/>
      <c r="BP970" s="38"/>
      <c r="BQ970" s="38"/>
      <c r="BR970" s="38"/>
    </row>
    <row r="971" spans="1:70">
      <c r="A971" s="38"/>
      <c r="B971" s="38"/>
      <c r="C971" s="43"/>
      <c r="D971" s="38"/>
      <c r="E971" s="38"/>
      <c r="F971" s="43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38"/>
      <c r="V971" s="38"/>
      <c r="W971" s="38"/>
      <c r="X971" s="38"/>
      <c r="Y971" s="38"/>
      <c r="Z971" s="38"/>
      <c r="AA971" s="38"/>
      <c r="AB971" s="38"/>
      <c r="AC971" s="38"/>
      <c r="AD971" s="38"/>
      <c r="AE971" s="38"/>
      <c r="AF971" s="38"/>
      <c r="AG971" s="38"/>
      <c r="AH971" s="38"/>
      <c r="AI971" s="38"/>
      <c r="AJ971" s="38"/>
      <c r="AK971" s="38"/>
      <c r="AL971" s="38"/>
      <c r="AM971" s="38"/>
      <c r="AN971" s="38"/>
      <c r="AO971" s="38"/>
      <c r="AP971" s="38"/>
      <c r="AQ971" s="38"/>
      <c r="AR971" s="38"/>
      <c r="AS971" s="38"/>
      <c r="AT971" s="38"/>
      <c r="AU971" s="38"/>
      <c r="AV971" s="38"/>
      <c r="AW971" s="38"/>
      <c r="AX971" s="38"/>
      <c r="AY971" s="38"/>
      <c r="AZ971" s="38"/>
      <c r="BA971" s="38"/>
      <c r="BB971" s="38"/>
      <c r="BC971" s="38"/>
      <c r="BD971" s="38"/>
      <c r="BE971" s="38"/>
      <c r="BF971" s="38"/>
      <c r="BG971" s="38"/>
      <c r="BH971" s="38"/>
      <c r="BI971" s="38"/>
      <c r="BJ971" s="38"/>
      <c r="BK971" s="38"/>
      <c r="BL971" s="38"/>
      <c r="BM971" s="38"/>
      <c r="BN971" s="38"/>
      <c r="BO971" s="38"/>
      <c r="BP971" s="38"/>
      <c r="BQ971" s="38"/>
      <c r="BR971" s="38"/>
    </row>
    <row r="972" spans="1:70">
      <c r="A972" s="38"/>
      <c r="B972" s="38"/>
      <c r="C972" s="43"/>
      <c r="D972" s="38"/>
      <c r="E972" s="38"/>
      <c r="F972" s="43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38"/>
      <c r="V972" s="38"/>
      <c r="W972" s="38"/>
      <c r="X972" s="38"/>
      <c r="Y972" s="38"/>
      <c r="Z972" s="38"/>
      <c r="AA972" s="38"/>
      <c r="AB972" s="38"/>
      <c r="AC972" s="38"/>
      <c r="AD972" s="38"/>
      <c r="AE972" s="38"/>
      <c r="AF972" s="38"/>
      <c r="AG972" s="38"/>
      <c r="AH972" s="38"/>
      <c r="AI972" s="38"/>
      <c r="AJ972" s="38"/>
      <c r="AK972" s="38"/>
      <c r="AL972" s="38"/>
      <c r="AM972" s="38"/>
      <c r="AN972" s="38"/>
      <c r="AO972" s="38"/>
      <c r="AP972" s="38"/>
      <c r="AQ972" s="38"/>
      <c r="AR972" s="38"/>
      <c r="AS972" s="38"/>
      <c r="AT972" s="38"/>
      <c r="AU972" s="38"/>
      <c r="AV972" s="38"/>
      <c r="AW972" s="38"/>
      <c r="AX972" s="38"/>
      <c r="AY972" s="38"/>
      <c r="AZ972" s="38"/>
      <c r="BA972" s="38"/>
      <c r="BB972" s="38"/>
      <c r="BC972" s="38"/>
      <c r="BD972" s="38"/>
      <c r="BE972" s="38"/>
      <c r="BF972" s="38"/>
      <c r="BG972" s="38"/>
      <c r="BH972" s="38"/>
      <c r="BI972" s="38"/>
      <c r="BJ972" s="38"/>
      <c r="BK972" s="38"/>
      <c r="BL972" s="38"/>
      <c r="BM972" s="38"/>
      <c r="BN972" s="38"/>
      <c r="BO972" s="38"/>
      <c r="BP972" s="38"/>
      <c r="BQ972" s="38"/>
      <c r="BR972" s="38"/>
    </row>
    <row r="973" spans="1:70">
      <c r="A973" s="38"/>
      <c r="B973" s="38"/>
      <c r="C973" s="43"/>
      <c r="D973" s="38"/>
      <c r="E973" s="38"/>
      <c r="F973" s="43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38"/>
      <c r="V973" s="38"/>
      <c r="W973" s="38"/>
      <c r="X973" s="38"/>
      <c r="Y973" s="38"/>
      <c r="Z973" s="38"/>
      <c r="AA973" s="38"/>
      <c r="AB973" s="38"/>
      <c r="AC973" s="38"/>
      <c r="AD973" s="38"/>
      <c r="AE973" s="38"/>
      <c r="AF973" s="38"/>
      <c r="AG973" s="38"/>
      <c r="AH973" s="38"/>
      <c r="AI973" s="38"/>
      <c r="AJ973" s="38"/>
      <c r="AK973" s="38"/>
      <c r="AL973" s="38"/>
      <c r="AM973" s="38"/>
      <c r="AN973" s="38"/>
      <c r="AO973" s="38"/>
      <c r="AP973" s="38"/>
      <c r="AQ973" s="38"/>
      <c r="AR973" s="38"/>
      <c r="AS973" s="38"/>
      <c r="AT973" s="38"/>
      <c r="AU973" s="38"/>
      <c r="AV973" s="38"/>
      <c r="AW973" s="38"/>
      <c r="AX973" s="38"/>
      <c r="AY973" s="38"/>
      <c r="AZ973" s="38"/>
      <c r="BA973" s="38"/>
      <c r="BB973" s="38"/>
      <c r="BC973" s="38"/>
      <c r="BD973" s="38"/>
      <c r="BE973" s="38"/>
      <c r="BF973" s="38"/>
      <c r="BG973" s="38"/>
      <c r="BH973" s="38"/>
      <c r="BI973" s="38"/>
      <c r="BJ973" s="38"/>
      <c r="BK973" s="38"/>
      <c r="BL973" s="38"/>
      <c r="BM973" s="38"/>
      <c r="BN973" s="38"/>
      <c r="BO973" s="38"/>
      <c r="BP973" s="38"/>
      <c r="BQ973" s="38"/>
      <c r="BR973" s="38"/>
    </row>
    <row r="974" spans="1:70">
      <c r="A974" s="38"/>
      <c r="B974" s="38"/>
      <c r="C974" s="43"/>
      <c r="D974" s="38"/>
      <c r="E974" s="38"/>
      <c r="F974" s="43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38"/>
      <c r="V974" s="38"/>
      <c r="W974" s="38"/>
      <c r="X974" s="38"/>
      <c r="Y974" s="38"/>
      <c r="Z974" s="38"/>
      <c r="AA974" s="38"/>
      <c r="AB974" s="38"/>
      <c r="AC974" s="38"/>
      <c r="AD974" s="38"/>
      <c r="AE974" s="38"/>
      <c r="AF974" s="38"/>
      <c r="AG974" s="38"/>
      <c r="AH974" s="38"/>
      <c r="AI974" s="38"/>
      <c r="AJ974" s="38"/>
      <c r="AK974" s="38"/>
      <c r="AL974" s="38"/>
      <c r="AM974" s="38"/>
      <c r="AN974" s="38"/>
      <c r="AO974" s="38"/>
      <c r="AP974" s="38"/>
      <c r="AQ974" s="38"/>
      <c r="AR974" s="38"/>
      <c r="AS974" s="38"/>
      <c r="AT974" s="38"/>
      <c r="AU974" s="38"/>
      <c r="AV974" s="38"/>
      <c r="AW974" s="38"/>
      <c r="AX974" s="38"/>
      <c r="AY974" s="38"/>
      <c r="AZ974" s="38"/>
      <c r="BA974" s="38"/>
      <c r="BB974" s="38"/>
      <c r="BC974" s="38"/>
      <c r="BD974" s="38"/>
      <c r="BE974" s="38"/>
      <c r="BF974" s="38"/>
      <c r="BG974" s="38"/>
      <c r="BH974" s="38"/>
      <c r="BI974" s="38"/>
      <c r="BJ974" s="38"/>
      <c r="BK974" s="38"/>
      <c r="BL974" s="38"/>
      <c r="BM974" s="38"/>
      <c r="BN974" s="38"/>
      <c r="BO974" s="38"/>
      <c r="BP974" s="38"/>
      <c r="BQ974" s="38"/>
      <c r="BR974" s="38"/>
    </row>
    <row r="975" spans="1:70">
      <c r="A975" s="38"/>
      <c r="B975" s="38"/>
      <c r="C975" s="43"/>
      <c r="D975" s="38"/>
      <c r="E975" s="38"/>
      <c r="F975" s="43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38"/>
      <c r="V975" s="38"/>
      <c r="W975" s="38"/>
      <c r="X975" s="38"/>
      <c r="Y975" s="38"/>
      <c r="Z975" s="38"/>
      <c r="AA975" s="38"/>
      <c r="AB975" s="38"/>
      <c r="AC975" s="38"/>
      <c r="AD975" s="38"/>
      <c r="AE975" s="38"/>
      <c r="AF975" s="38"/>
      <c r="AG975" s="38"/>
      <c r="AH975" s="38"/>
      <c r="AI975" s="38"/>
      <c r="AJ975" s="38"/>
      <c r="AK975" s="38"/>
      <c r="AL975" s="38"/>
      <c r="AM975" s="38"/>
      <c r="AN975" s="38"/>
      <c r="AO975" s="38"/>
      <c r="AP975" s="38"/>
      <c r="AQ975" s="38"/>
      <c r="AR975" s="38"/>
      <c r="AS975" s="38"/>
      <c r="AT975" s="38"/>
      <c r="AU975" s="38"/>
      <c r="AV975" s="38"/>
      <c r="AW975" s="38"/>
      <c r="AX975" s="38"/>
      <c r="AY975" s="38"/>
      <c r="AZ975" s="38"/>
      <c r="BA975" s="38"/>
      <c r="BB975" s="38"/>
      <c r="BC975" s="38"/>
      <c r="BD975" s="38"/>
      <c r="BE975" s="38"/>
      <c r="BF975" s="38"/>
      <c r="BG975" s="38"/>
      <c r="BH975" s="38"/>
      <c r="BI975" s="38"/>
      <c r="BJ975" s="38"/>
      <c r="BK975" s="38"/>
      <c r="BL975" s="38"/>
      <c r="BM975" s="38"/>
      <c r="BN975" s="38"/>
      <c r="BO975" s="38"/>
      <c r="BP975" s="38"/>
      <c r="BQ975" s="38"/>
      <c r="BR975" s="38"/>
    </row>
    <row r="976" spans="1:70">
      <c r="A976" s="38"/>
      <c r="B976" s="38"/>
      <c r="C976" s="43"/>
      <c r="D976" s="38"/>
      <c r="E976" s="38"/>
      <c r="F976" s="43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38"/>
      <c r="V976" s="38"/>
      <c r="W976" s="38"/>
      <c r="X976" s="38"/>
      <c r="Y976" s="38"/>
      <c r="Z976" s="38"/>
      <c r="AA976" s="38"/>
      <c r="AB976" s="38"/>
      <c r="AC976" s="38"/>
      <c r="AD976" s="38"/>
      <c r="AE976" s="38"/>
      <c r="AF976" s="38"/>
      <c r="AG976" s="38"/>
      <c r="AH976" s="38"/>
      <c r="AI976" s="38"/>
      <c r="AJ976" s="38"/>
      <c r="AK976" s="38"/>
      <c r="AL976" s="38"/>
      <c r="AM976" s="38"/>
      <c r="AN976" s="38"/>
      <c r="AO976" s="38"/>
      <c r="AP976" s="38"/>
      <c r="AQ976" s="38"/>
      <c r="AR976" s="38"/>
      <c r="AS976" s="38"/>
      <c r="AT976" s="38"/>
      <c r="AU976" s="38"/>
      <c r="AV976" s="38"/>
      <c r="AW976" s="38"/>
      <c r="AX976" s="38"/>
      <c r="AY976" s="38"/>
      <c r="AZ976" s="38"/>
      <c r="BA976" s="38"/>
      <c r="BB976" s="38"/>
      <c r="BC976" s="38"/>
      <c r="BD976" s="38"/>
      <c r="BE976" s="38"/>
      <c r="BF976" s="38"/>
      <c r="BG976" s="38"/>
      <c r="BH976" s="38"/>
      <c r="BI976" s="38"/>
      <c r="BJ976" s="38"/>
      <c r="BK976" s="38"/>
      <c r="BL976" s="38"/>
      <c r="BM976" s="38"/>
      <c r="BN976" s="38"/>
      <c r="BO976" s="38"/>
      <c r="BP976" s="38"/>
      <c r="BQ976" s="38"/>
      <c r="BR976" s="38"/>
    </row>
    <row r="977" spans="1:70">
      <c r="A977" s="38"/>
      <c r="B977" s="38"/>
      <c r="C977" s="43"/>
      <c r="D977" s="38"/>
      <c r="E977" s="38"/>
      <c r="F977" s="43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38"/>
      <c r="V977" s="38"/>
      <c r="W977" s="38"/>
      <c r="X977" s="38"/>
      <c r="Y977" s="38"/>
      <c r="Z977" s="38"/>
      <c r="AA977" s="38"/>
      <c r="AB977" s="38"/>
      <c r="AC977" s="38"/>
      <c r="AD977" s="38"/>
      <c r="AE977" s="38"/>
      <c r="AF977" s="38"/>
      <c r="AG977" s="38"/>
      <c r="AH977" s="38"/>
      <c r="AI977" s="38"/>
      <c r="AJ977" s="38"/>
      <c r="AK977" s="38"/>
      <c r="AL977" s="38"/>
      <c r="AM977" s="38"/>
      <c r="AN977" s="38"/>
      <c r="AO977" s="38"/>
      <c r="AP977" s="38"/>
      <c r="AQ977" s="38"/>
      <c r="AR977" s="38"/>
      <c r="AS977" s="38"/>
      <c r="AT977" s="38"/>
      <c r="AU977" s="38"/>
      <c r="AV977" s="38"/>
      <c r="AW977" s="38"/>
      <c r="AX977" s="38"/>
      <c r="AY977" s="38"/>
      <c r="AZ977" s="38"/>
      <c r="BA977" s="38"/>
      <c r="BB977" s="38"/>
      <c r="BC977" s="38"/>
      <c r="BD977" s="38"/>
      <c r="BE977" s="38"/>
      <c r="BF977" s="38"/>
      <c r="BG977" s="38"/>
      <c r="BH977" s="38"/>
      <c r="BI977" s="38"/>
      <c r="BJ977" s="38"/>
      <c r="BK977" s="38"/>
      <c r="BL977" s="38"/>
      <c r="BM977" s="38"/>
      <c r="BN977" s="38"/>
      <c r="BO977" s="38"/>
      <c r="BP977" s="38"/>
      <c r="BQ977" s="38"/>
      <c r="BR977" s="38"/>
    </row>
    <row r="978" spans="1:70">
      <c r="A978" s="38"/>
      <c r="B978" s="38"/>
      <c r="C978" s="43"/>
      <c r="D978" s="38"/>
      <c r="E978" s="38"/>
      <c r="F978" s="43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38"/>
      <c r="V978" s="38"/>
      <c r="W978" s="38"/>
      <c r="X978" s="38"/>
      <c r="Y978" s="38"/>
      <c r="Z978" s="38"/>
      <c r="AA978" s="38"/>
      <c r="AB978" s="38"/>
      <c r="AC978" s="38"/>
      <c r="AD978" s="38"/>
      <c r="AE978" s="38"/>
      <c r="AF978" s="38"/>
      <c r="AG978" s="38"/>
      <c r="AH978" s="38"/>
      <c r="AI978" s="38"/>
      <c r="AJ978" s="38"/>
      <c r="AK978" s="38"/>
      <c r="AL978" s="38"/>
      <c r="AM978" s="38"/>
      <c r="AN978" s="38"/>
      <c r="AO978" s="38"/>
      <c r="AP978" s="38"/>
      <c r="AQ978" s="38"/>
      <c r="AR978" s="38"/>
      <c r="AS978" s="38"/>
      <c r="AT978" s="38"/>
      <c r="AU978" s="38"/>
      <c r="AV978" s="38"/>
      <c r="AW978" s="38"/>
      <c r="AX978" s="38"/>
      <c r="AY978" s="38"/>
      <c r="AZ978" s="38"/>
      <c r="BA978" s="38"/>
      <c r="BB978" s="38"/>
      <c r="BC978" s="38"/>
      <c r="BD978" s="38"/>
      <c r="BE978" s="38"/>
      <c r="BF978" s="38"/>
      <c r="BG978" s="38"/>
      <c r="BH978" s="38"/>
      <c r="BI978" s="38"/>
      <c r="BJ978" s="38"/>
      <c r="BK978" s="38"/>
      <c r="BL978" s="38"/>
      <c r="BM978" s="38"/>
      <c r="BN978" s="38"/>
      <c r="BO978" s="38"/>
      <c r="BP978" s="38"/>
      <c r="BQ978" s="38"/>
      <c r="BR978" s="38"/>
    </row>
    <row r="979" spans="1:70">
      <c r="A979" s="38"/>
      <c r="B979" s="38"/>
      <c r="C979" s="43"/>
      <c r="D979" s="38"/>
      <c r="E979" s="38"/>
      <c r="F979" s="43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38"/>
      <c r="V979" s="38"/>
      <c r="W979" s="38"/>
      <c r="X979" s="38"/>
      <c r="Y979" s="38"/>
      <c r="Z979" s="38"/>
      <c r="AA979" s="38"/>
      <c r="AB979" s="38"/>
      <c r="AC979" s="38"/>
      <c r="AD979" s="38"/>
      <c r="AE979" s="38"/>
      <c r="AF979" s="38"/>
      <c r="AG979" s="38"/>
      <c r="AH979" s="38"/>
      <c r="AI979" s="38"/>
      <c r="AJ979" s="38"/>
      <c r="AK979" s="38"/>
      <c r="AL979" s="38"/>
      <c r="AM979" s="38"/>
      <c r="AN979" s="38"/>
      <c r="AO979" s="38"/>
      <c r="AP979" s="38"/>
      <c r="AQ979" s="38"/>
      <c r="AR979" s="38"/>
      <c r="AS979" s="38"/>
      <c r="AT979" s="38"/>
      <c r="AU979" s="38"/>
      <c r="AV979" s="38"/>
      <c r="AW979" s="38"/>
      <c r="AX979" s="38"/>
      <c r="AY979" s="38"/>
      <c r="AZ979" s="38"/>
      <c r="BA979" s="38"/>
      <c r="BB979" s="38"/>
      <c r="BC979" s="38"/>
      <c r="BD979" s="38"/>
      <c r="BE979" s="38"/>
      <c r="BF979" s="38"/>
      <c r="BG979" s="38"/>
      <c r="BH979" s="38"/>
      <c r="BI979" s="38"/>
      <c r="BJ979" s="38"/>
      <c r="BK979" s="38"/>
      <c r="BL979" s="38"/>
      <c r="BM979" s="38"/>
      <c r="BN979" s="38"/>
      <c r="BO979" s="38"/>
      <c r="BP979" s="38"/>
      <c r="BQ979" s="38"/>
      <c r="BR979" s="38"/>
    </row>
    <row r="980" spans="1:70">
      <c r="A980" s="38"/>
      <c r="B980" s="38"/>
      <c r="C980" s="43"/>
      <c r="D980" s="38"/>
      <c r="E980" s="38"/>
      <c r="F980" s="43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38"/>
      <c r="V980" s="38"/>
      <c r="W980" s="38"/>
      <c r="X980" s="38"/>
      <c r="Y980" s="38"/>
      <c r="Z980" s="38"/>
      <c r="AA980" s="38"/>
      <c r="AB980" s="38"/>
      <c r="AC980" s="38"/>
      <c r="AD980" s="38"/>
      <c r="AE980" s="38"/>
      <c r="AF980" s="38"/>
      <c r="AG980" s="38"/>
      <c r="AH980" s="38"/>
      <c r="AI980" s="38"/>
      <c r="AJ980" s="38"/>
      <c r="AK980" s="38"/>
      <c r="AL980" s="38"/>
      <c r="AM980" s="38"/>
      <c r="AN980" s="38"/>
      <c r="AO980" s="38"/>
      <c r="AP980" s="38"/>
      <c r="AQ980" s="38"/>
      <c r="AR980" s="38"/>
      <c r="AS980" s="38"/>
      <c r="AT980" s="38"/>
      <c r="AU980" s="38"/>
      <c r="AV980" s="38"/>
      <c r="AW980" s="38"/>
      <c r="AX980" s="38"/>
      <c r="AY980" s="38"/>
      <c r="AZ980" s="38"/>
      <c r="BA980" s="38"/>
      <c r="BB980" s="38"/>
      <c r="BC980" s="38"/>
      <c r="BD980" s="38"/>
      <c r="BE980" s="38"/>
      <c r="BF980" s="38"/>
      <c r="BG980" s="38"/>
      <c r="BH980" s="38"/>
      <c r="BI980" s="38"/>
      <c r="BJ980" s="38"/>
      <c r="BK980" s="38"/>
      <c r="BL980" s="38"/>
      <c r="BM980" s="38"/>
      <c r="BN980" s="38"/>
      <c r="BO980" s="38"/>
      <c r="BP980" s="38"/>
      <c r="BQ980" s="38"/>
      <c r="BR980" s="38"/>
    </row>
    <row r="981" spans="1:70">
      <c r="A981" s="38"/>
      <c r="B981" s="38"/>
      <c r="C981" s="43"/>
      <c r="D981" s="38"/>
      <c r="E981" s="38"/>
      <c r="F981" s="43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38"/>
      <c r="V981" s="38"/>
      <c r="W981" s="38"/>
      <c r="X981" s="38"/>
      <c r="Y981" s="38"/>
      <c r="Z981" s="38"/>
      <c r="AA981" s="38"/>
      <c r="AB981" s="38"/>
      <c r="AC981" s="38"/>
      <c r="AD981" s="38"/>
      <c r="AE981" s="38"/>
      <c r="AF981" s="38"/>
      <c r="AG981" s="38"/>
      <c r="AH981" s="38"/>
      <c r="AI981" s="38"/>
      <c r="AJ981" s="38"/>
      <c r="AK981" s="38"/>
      <c r="AL981" s="38"/>
      <c r="AM981" s="38"/>
      <c r="AN981" s="38"/>
      <c r="AO981" s="38"/>
      <c r="AP981" s="38"/>
      <c r="AQ981" s="38"/>
      <c r="AR981" s="38"/>
      <c r="AS981" s="38"/>
      <c r="AT981" s="38"/>
      <c r="AU981" s="38"/>
      <c r="AV981" s="38"/>
      <c r="AW981" s="38"/>
      <c r="AX981" s="38"/>
      <c r="AY981" s="38"/>
      <c r="AZ981" s="38"/>
      <c r="BA981" s="38"/>
      <c r="BB981" s="38"/>
      <c r="BC981" s="38"/>
      <c r="BD981" s="38"/>
      <c r="BE981" s="38"/>
      <c r="BF981" s="38"/>
      <c r="BG981" s="38"/>
      <c r="BH981" s="38"/>
      <c r="BI981" s="38"/>
      <c r="BJ981" s="38"/>
      <c r="BK981" s="38"/>
      <c r="BL981" s="38"/>
      <c r="BM981" s="38"/>
      <c r="BN981" s="38"/>
      <c r="BO981" s="38"/>
      <c r="BP981" s="38"/>
      <c r="BQ981" s="38"/>
      <c r="BR981" s="38"/>
    </row>
    <row r="982" spans="1:70">
      <c r="A982" s="38"/>
      <c r="B982" s="38"/>
      <c r="C982" s="43"/>
      <c r="D982" s="38"/>
      <c r="E982" s="38"/>
      <c r="F982" s="43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38"/>
      <c r="V982" s="38"/>
      <c r="W982" s="38"/>
      <c r="X982" s="38"/>
      <c r="Y982" s="38"/>
      <c r="Z982" s="38"/>
      <c r="AA982" s="38"/>
      <c r="AB982" s="38"/>
      <c r="AC982" s="38"/>
      <c r="AD982" s="38"/>
      <c r="AE982" s="38"/>
      <c r="AF982" s="38"/>
      <c r="AG982" s="38"/>
      <c r="AH982" s="38"/>
      <c r="AI982" s="38"/>
      <c r="AJ982" s="38"/>
      <c r="AK982" s="38"/>
      <c r="AL982" s="38"/>
      <c r="AM982" s="38"/>
      <c r="AN982" s="38"/>
      <c r="AO982" s="38"/>
      <c r="AP982" s="38"/>
      <c r="AQ982" s="38"/>
      <c r="AR982" s="38"/>
      <c r="AS982" s="38"/>
      <c r="AT982" s="38"/>
      <c r="AU982" s="38"/>
      <c r="AV982" s="38"/>
      <c r="AW982" s="38"/>
      <c r="AX982" s="38"/>
      <c r="AY982" s="38"/>
      <c r="AZ982" s="38"/>
      <c r="BA982" s="38"/>
      <c r="BB982" s="38"/>
      <c r="BC982" s="38"/>
      <c r="BD982" s="38"/>
      <c r="BE982" s="38"/>
      <c r="BF982" s="38"/>
      <c r="BG982" s="38"/>
      <c r="BH982" s="38"/>
      <c r="BI982" s="38"/>
      <c r="BJ982" s="38"/>
      <c r="BK982" s="38"/>
      <c r="BL982" s="38"/>
      <c r="BM982" s="38"/>
      <c r="BN982" s="38"/>
      <c r="BO982" s="38"/>
      <c r="BP982" s="38"/>
      <c r="BQ982" s="38"/>
      <c r="BR982" s="38"/>
    </row>
    <row r="983" spans="1:70">
      <c r="A983" s="38"/>
      <c r="B983" s="38"/>
      <c r="C983" s="43"/>
      <c r="D983" s="38"/>
      <c r="E983" s="38"/>
      <c r="F983" s="43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38"/>
      <c r="V983" s="38"/>
      <c r="W983" s="38"/>
      <c r="X983" s="38"/>
      <c r="Y983" s="38"/>
      <c r="Z983" s="38"/>
      <c r="AA983" s="38"/>
      <c r="AB983" s="38"/>
      <c r="AC983" s="38"/>
      <c r="AD983" s="38"/>
      <c r="AE983" s="38"/>
      <c r="AF983" s="38"/>
      <c r="AG983" s="38"/>
      <c r="AH983" s="38"/>
      <c r="AI983" s="38"/>
      <c r="AJ983" s="38"/>
      <c r="AK983" s="38"/>
      <c r="AL983" s="38"/>
      <c r="AM983" s="38"/>
      <c r="AN983" s="38"/>
      <c r="AO983" s="38"/>
      <c r="AP983" s="38"/>
      <c r="AQ983" s="38"/>
      <c r="AR983" s="38"/>
      <c r="AS983" s="38"/>
      <c r="AT983" s="38"/>
      <c r="AU983" s="38"/>
      <c r="AV983" s="38"/>
      <c r="AW983" s="38"/>
      <c r="AX983" s="38"/>
      <c r="AY983" s="38"/>
      <c r="AZ983" s="38"/>
      <c r="BA983" s="38"/>
      <c r="BB983" s="38"/>
      <c r="BC983" s="38"/>
      <c r="BD983" s="38"/>
      <c r="BE983" s="38"/>
      <c r="BF983" s="38"/>
      <c r="BG983" s="38"/>
      <c r="BH983" s="38"/>
      <c r="BI983" s="38"/>
      <c r="BJ983" s="38"/>
      <c r="BK983" s="38"/>
      <c r="BL983" s="38"/>
      <c r="BM983" s="38"/>
      <c r="BN983" s="38"/>
      <c r="BO983" s="38"/>
      <c r="BP983" s="38"/>
      <c r="BQ983" s="38"/>
      <c r="BR983" s="38"/>
    </row>
    <row r="984" spans="1:70">
      <c r="A984" s="38"/>
      <c r="B984" s="38"/>
      <c r="C984" s="43"/>
      <c r="D984" s="38"/>
      <c r="E984" s="38"/>
      <c r="F984" s="43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38"/>
      <c r="V984" s="38"/>
      <c r="W984" s="38"/>
      <c r="X984" s="38"/>
      <c r="Y984" s="38"/>
      <c r="Z984" s="38"/>
      <c r="AA984" s="38"/>
      <c r="AB984" s="38"/>
      <c r="AC984" s="38"/>
      <c r="AD984" s="38"/>
      <c r="AE984" s="38"/>
      <c r="AF984" s="38"/>
      <c r="AG984" s="38"/>
      <c r="AH984" s="38"/>
      <c r="AI984" s="38"/>
      <c r="AJ984" s="38"/>
      <c r="AK984" s="38"/>
      <c r="AL984" s="38"/>
      <c r="AM984" s="38"/>
      <c r="AN984" s="38"/>
      <c r="AO984" s="38"/>
      <c r="AP984" s="38"/>
      <c r="AQ984" s="38"/>
      <c r="AR984" s="38"/>
      <c r="AS984" s="38"/>
      <c r="AT984" s="38"/>
      <c r="AU984" s="38"/>
      <c r="AV984" s="38"/>
      <c r="AW984" s="38"/>
      <c r="AX984" s="38"/>
      <c r="AY984" s="38"/>
      <c r="AZ984" s="38"/>
      <c r="BA984" s="38"/>
      <c r="BB984" s="38"/>
      <c r="BC984" s="38"/>
      <c r="BD984" s="38"/>
      <c r="BE984" s="38"/>
      <c r="BF984" s="38"/>
      <c r="BG984" s="38"/>
      <c r="BH984" s="38"/>
      <c r="BI984" s="38"/>
      <c r="BJ984" s="38"/>
      <c r="BK984" s="38"/>
      <c r="BL984" s="38"/>
      <c r="BM984" s="38"/>
      <c r="BN984" s="38"/>
      <c r="BO984" s="38"/>
      <c r="BP984" s="38"/>
      <c r="BQ984" s="38"/>
      <c r="BR984" s="38"/>
    </row>
    <row r="985" spans="1:70">
      <c r="A985" s="38"/>
      <c r="B985" s="38"/>
      <c r="C985" s="43"/>
      <c r="D985" s="38"/>
      <c r="E985" s="38"/>
      <c r="F985" s="43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38"/>
      <c r="V985" s="38"/>
      <c r="W985" s="38"/>
      <c r="X985" s="38"/>
      <c r="Y985" s="38"/>
      <c r="Z985" s="38"/>
      <c r="AA985" s="38"/>
      <c r="AB985" s="38"/>
      <c r="AC985" s="38"/>
      <c r="AD985" s="38"/>
      <c r="AE985" s="38"/>
      <c r="AF985" s="38"/>
      <c r="AG985" s="38"/>
      <c r="AH985" s="38"/>
      <c r="AI985" s="38"/>
      <c r="AJ985" s="38"/>
      <c r="AK985" s="38"/>
      <c r="AL985" s="38"/>
      <c r="AM985" s="38"/>
      <c r="AN985" s="38"/>
      <c r="AO985" s="38"/>
      <c r="AP985" s="38"/>
      <c r="AQ985" s="38"/>
      <c r="AR985" s="38"/>
      <c r="AS985" s="38"/>
      <c r="AT985" s="38"/>
      <c r="AU985" s="38"/>
      <c r="AV985" s="38"/>
      <c r="AW985" s="38"/>
      <c r="AX985" s="38"/>
      <c r="AY985" s="38"/>
      <c r="AZ985" s="38"/>
      <c r="BA985" s="38"/>
      <c r="BB985" s="38"/>
      <c r="BC985" s="38"/>
      <c r="BD985" s="38"/>
      <c r="BE985" s="38"/>
      <c r="BF985" s="38"/>
      <c r="BG985" s="38"/>
      <c r="BH985" s="38"/>
      <c r="BI985" s="38"/>
      <c r="BJ985" s="38"/>
      <c r="BK985" s="38"/>
      <c r="BL985" s="38"/>
      <c r="BM985" s="38"/>
      <c r="BN985" s="38"/>
      <c r="BO985" s="38"/>
      <c r="BP985" s="38"/>
      <c r="BQ985" s="38"/>
      <c r="BR985" s="38"/>
    </row>
    <row r="986" spans="1:70">
      <c r="A986" s="38"/>
      <c r="B986" s="38"/>
      <c r="C986" s="43"/>
      <c r="D986" s="38"/>
      <c r="E986" s="38"/>
      <c r="F986" s="43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  <c r="X986" s="38"/>
      <c r="Y986" s="38"/>
      <c r="Z986" s="38"/>
      <c r="AA986" s="38"/>
      <c r="AB986" s="38"/>
      <c r="AC986" s="38"/>
      <c r="AD986" s="38"/>
      <c r="AE986" s="38"/>
      <c r="AF986" s="38"/>
      <c r="AG986" s="38"/>
      <c r="AH986" s="38"/>
      <c r="AI986" s="38"/>
      <c r="AJ986" s="38"/>
      <c r="AK986" s="38"/>
      <c r="AL986" s="38"/>
      <c r="AM986" s="38"/>
      <c r="AN986" s="38"/>
      <c r="AO986" s="38"/>
      <c r="AP986" s="38"/>
      <c r="AQ986" s="38"/>
      <c r="AR986" s="38"/>
      <c r="AS986" s="38"/>
      <c r="AT986" s="38"/>
      <c r="AU986" s="38"/>
      <c r="AV986" s="38"/>
      <c r="AW986" s="38"/>
      <c r="AX986" s="38"/>
      <c r="AY986" s="38"/>
      <c r="AZ986" s="38"/>
      <c r="BA986" s="38"/>
      <c r="BB986" s="38"/>
      <c r="BC986" s="38"/>
      <c r="BD986" s="38"/>
      <c r="BE986" s="38"/>
      <c r="BF986" s="38"/>
      <c r="BG986" s="38"/>
      <c r="BH986" s="38"/>
      <c r="BI986" s="38"/>
      <c r="BJ986" s="38"/>
      <c r="BK986" s="38"/>
      <c r="BL986" s="38"/>
      <c r="BM986" s="38"/>
      <c r="BN986" s="38"/>
      <c r="BO986" s="38"/>
      <c r="BP986" s="38"/>
      <c r="BQ986" s="38"/>
      <c r="BR986" s="38"/>
    </row>
    <row r="987" spans="1:70">
      <c r="A987" s="38"/>
      <c r="B987" s="38"/>
      <c r="C987" s="43"/>
      <c r="D987" s="38"/>
      <c r="E987" s="38"/>
      <c r="F987" s="43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38"/>
      <c r="V987" s="38"/>
      <c r="W987" s="38"/>
      <c r="X987" s="38"/>
      <c r="Y987" s="38"/>
      <c r="Z987" s="38"/>
      <c r="AA987" s="38"/>
      <c r="AB987" s="38"/>
      <c r="AC987" s="38"/>
      <c r="AD987" s="38"/>
      <c r="AE987" s="38"/>
      <c r="AF987" s="38"/>
      <c r="AG987" s="38"/>
      <c r="AH987" s="38"/>
      <c r="AI987" s="38"/>
      <c r="AJ987" s="38"/>
      <c r="AK987" s="38"/>
      <c r="AL987" s="38"/>
      <c r="AM987" s="38"/>
      <c r="AN987" s="38"/>
      <c r="AO987" s="38"/>
      <c r="AP987" s="38"/>
      <c r="AQ987" s="38"/>
      <c r="AR987" s="38"/>
      <c r="AS987" s="38"/>
      <c r="AT987" s="38"/>
      <c r="AU987" s="38"/>
      <c r="AV987" s="38"/>
      <c r="AW987" s="38"/>
      <c r="AX987" s="38"/>
      <c r="AY987" s="38"/>
      <c r="AZ987" s="38"/>
      <c r="BA987" s="38"/>
      <c r="BB987" s="38"/>
      <c r="BC987" s="38"/>
      <c r="BD987" s="38"/>
      <c r="BE987" s="38"/>
      <c r="BF987" s="38"/>
      <c r="BG987" s="38"/>
      <c r="BH987" s="38"/>
      <c r="BI987" s="38"/>
      <c r="BJ987" s="38"/>
      <c r="BK987" s="38"/>
      <c r="BL987" s="38"/>
      <c r="BM987" s="38"/>
      <c r="BN987" s="38"/>
      <c r="BO987" s="38"/>
      <c r="BP987" s="38"/>
      <c r="BQ987" s="38"/>
      <c r="BR987" s="38"/>
    </row>
    <row r="988" spans="1:70">
      <c r="A988" s="38"/>
      <c r="B988" s="38"/>
      <c r="C988" s="43"/>
      <c r="D988" s="38"/>
      <c r="E988" s="38"/>
      <c r="F988" s="43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38"/>
      <c r="V988" s="38"/>
      <c r="W988" s="38"/>
      <c r="X988" s="38"/>
      <c r="Y988" s="38"/>
      <c r="Z988" s="38"/>
      <c r="AA988" s="38"/>
      <c r="AB988" s="38"/>
      <c r="AC988" s="38"/>
      <c r="AD988" s="38"/>
      <c r="AE988" s="38"/>
      <c r="AF988" s="38"/>
      <c r="AG988" s="38"/>
      <c r="AH988" s="38"/>
      <c r="AI988" s="38"/>
      <c r="AJ988" s="38"/>
      <c r="AK988" s="38"/>
      <c r="AL988" s="38"/>
      <c r="AM988" s="38"/>
      <c r="AN988" s="38"/>
      <c r="AO988" s="38"/>
      <c r="AP988" s="38"/>
      <c r="AQ988" s="38"/>
      <c r="AR988" s="38"/>
      <c r="AS988" s="38"/>
      <c r="AT988" s="38"/>
      <c r="AU988" s="38"/>
      <c r="AV988" s="38"/>
      <c r="AW988" s="38"/>
      <c r="AX988" s="38"/>
      <c r="AY988" s="38"/>
      <c r="AZ988" s="38"/>
      <c r="BA988" s="38"/>
      <c r="BB988" s="38"/>
      <c r="BC988" s="38"/>
      <c r="BD988" s="38"/>
      <c r="BE988" s="38"/>
      <c r="BF988" s="38"/>
      <c r="BG988" s="38"/>
      <c r="BH988" s="38"/>
      <c r="BI988" s="38"/>
      <c r="BJ988" s="38"/>
      <c r="BK988" s="38"/>
      <c r="BL988" s="38"/>
      <c r="BM988" s="38"/>
      <c r="BN988" s="38"/>
      <c r="BO988" s="38"/>
      <c r="BP988" s="38"/>
      <c r="BQ988" s="38"/>
      <c r="BR988" s="38"/>
    </row>
    <row r="989" spans="1:70">
      <c r="A989" s="38"/>
      <c r="B989" s="38"/>
      <c r="C989" s="43"/>
      <c r="D989" s="38"/>
      <c r="E989" s="38"/>
      <c r="F989" s="43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38"/>
      <c r="V989" s="38"/>
      <c r="W989" s="38"/>
      <c r="X989" s="38"/>
      <c r="Y989" s="38"/>
      <c r="Z989" s="38"/>
      <c r="AA989" s="38"/>
      <c r="AB989" s="38"/>
      <c r="AC989" s="38"/>
      <c r="AD989" s="38"/>
      <c r="AE989" s="38"/>
      <c r="AF989" s="38"/>
      <c r="AG989" s="38"/>
      <c r="AH989" s="38"/>
      <c r="AI989" s="38"/>
      <c r="AJ989" s="38"/>
      <c r="AK989" s="38"/>
      <c r="AL989" s="38"/>
      <c r="AM989" s="38"/>
      <c r="AN989" s="38"/>
      <c r="AO989" s="38"/>
      <c r="AP989" s="38"/>
      <c r="AQ989" s="38"/>
      <c r="AR989" s="38"/>
      <c r="AS989" s="38"/>
      <c r="AT989" s="38"/>
      <c r="AU989" s="38"/>
      <c r="AV989" s="38"/>
      <c r="AW989" s="38"/>
      <c r="AX989" s="38"/>
      <c r="AY989" s="38"/>
      <c r="AZ989" s="38"/>
      <c r="BA989" s="38"/>
      <c r="BB989" s="38"/>
      <c r="BC989" s="38"/>
      <c r="BD989" s="38"/>
      <c r="BE989" s="38"/>
      <c r="BF989" s="38"/>
      <c r="BG989" s="38"/>
      <c r="BH989" s="38"/>
      <c r="BI989" s="38"/>
      <c r="BJ989" s="38"/>
      <c r="BK989" s="38"/>
      <c r="BL989" s="38"/>
      <c r="BM989" s="38"/>
      <c r="BN989" s="38"/>
      <c r="BO989" s="38"/>
      <c r="BP989" s="38"/>
      <c r="BQ989" s="38"/>
      <c r="BR989" s="38"/>
    </row>
    <row r="990" spans="1:70">
      <c r="A990" s="38"/>
      <c r="B990" s="38"/>
      <c r="C990" s="43"/>
      <c r="D990" s="38"/>
      <c r="E990" s="38"/>
      <c r="F990" s="43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38"/>
      <c r="V990" s="38"/>
      <c r="W990" s="38"/>
      <c r="X990" s="38"/>
      <c r="Y990" s="38"/>
      <c r="Z990" s="38"/>
      <c r="AA990" s="38"/>
      <c r="AB990" s="38"/>
      <c r="AC990" s="38"/>
      <c r="AD990" s="38"/>
      <c r="AE990" s="38"/>
      <c r="AF990" s="38"/>
      <c r="AG990" s="38"/>
      <c r="AH990" s="38"/>
      <c r="AI990" s="38"/>
      <c r="AJ990" s="38"/>
      <c r="AK990" s="38"/>
      <c r="AL990" s="38"/>
      <c r="AM990" s="38"/>
      <c r="AN990" s="38"/>
      <c r="AO990" s="38"/>
      <c r="AP990" s="38"/>
      <c r="AQ990" s="38"/>
      <c r="AR990" s="38"/>
      <c r="AS990" s="38"/>
      <c r="AT990" s="38"/>
      <c r="AU990" s="38"/>
      <c r="AV990" s="38"/>
      <c r="AW990" s="38"/>
      <c r="AX990" s="38"/>
      <c r="AY990" s="38"/>
      <c r="AZ990" s="38"/>
      <c r="BA990" s="38"/>
      <c r="BB990" s="38"/>
      <c r="BC990" s="38"/>
      <c r="BD990" s="38"/>
      <c r="BE990" s="38"/>
      <c r="BF990" s="38"/>
      <c r="BG990" s="38"/>
      <c r="BH990" s="38"/>
      <c r="BI990" s="38"/>
      <c r="BJ990" s="38"/>
      <c r="BK990" s="38"/>
      <c r="BL990" s="38"/>
      <c r="BM990" s="38"/>
      <c r="BN990" s="38"/>
      <c r="BO990" s="38"/>
      <c r="BP990" s="38"/>
      <c r="BQ990" s="38"/>
      <c r="BR990" s="38"/>
    </row>
    <row r="991" spans="1:70">
      <c r="A991" s="38"/>
      <c r="B991" s="38"/>
      <c r="C991" s="43"/>
      <c r="D991" s="38"/>
      <c r="E991" s="38"/>
      <c r="F991" s="43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38"/>
      <c r="V991" s="38"/>
      <c r="W991" s="38"/>
      <c r="X991" s="38"/>
      <c r="Y991" s="38"/>
      <c r="Z991" s="38"/>
      <c r="AA991" s="38"/>
      <c r="AB991" s="38"/>
      <c r="AC991" s="38"/>
      <c r="AD991" s="38"/>
      <c r="AE991" s="38"/>
      <c r="AF991" s="38"/>
      <c r="AG991" s="38"/>
      <c r="AH991" s="38"/>
      <c r="AI991" s="38"/>
      <c r="AJ991" s="38"/>
      <c r="AK991" s="38"/>
      <c r="AL991" s="38"/>
      <c r="AM991" s="38"/>
      <c r="AN991" s="38"/>
      <c r="AO991" s="38"/>
      <c r="AP991" s="38"/>
      <c r="AQ991" s="38"/>
      <c r="AR991" s="38"/>
      <c r="AS991" s="38"/>
      <c r="AT991" s="38"/>
      <c r="AU991" s="38"/>
      <c r="AV991" s="38"/>
      <c r="AW991" s="38"/>
      <c r="AX991" s="38"/>
      <c r="AY991" s="38"/>
      <c r="AZ991" s="38"/>
      <c r="BA991" s="38"/>
      <c r="BB991" s="38"/>
      <c r="BC991" s="38"/>
      <c r="BD991" s="38"/>
      <c r="BE991" s="38"/>
      <c r="BF991" s="38"/>
      <c r="BG991" s="38"/>
      <c r="BH991" s="38"/>
      <c r="BI991" s="38"/>
      <c r="BJ991" s="38"/>
      <c r="BK991" s="38"/>
      <c r="BL991" s="38"/>
      <c r="BM991" s="38"/>
      <c r="BN991" s="38"/>
      <c r="BO991" s="38"/>
      <c r="BP991" s="38"/>
      <c r="BQ991" s="38"/>
      <c r="BR991" s="38"/>
    </row>
    <row r="992" spans="1:70">
      <c r="A992" s="38"/>
      <c r="B992" s="38"/>
      <c r="C992" s="43"/>
      <c r="D992" s="38"/>
      <c r="E992" s="38"/>
      <c r="F992" s="43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38"/>
      <c r="V992" s="38"/>
      <c r="W992" s="38"/>
      <c r="X992" s="38"/>
      <c r="Y992" s="38"/>
      <c r="Z992" s="38"/>
      <c r="AA992" s="38"/>
      <c r="AB992" s="38"/>
      <c r="AC992" s="38"/>
      <c r="AD992" s="38"/>
      <c r="AE992" s="38"/>
      <c r="AF992" s="38"/>
      <c r="AG992" s="38"/>
      <c r="AH992" s="38"/>
      <c r="AI992" s="38"/>
      <c r="AJ992" s="38"/>
      <c r="AK992" s="38"/>
      <c r="AL992" s="38"/>
      <c r="AM992" s="38"/>
      <c r="AN992" s="38"/>
      <c r="AO992" s="38"/>
      <c r="AP992" s="38"/>
      <c r="AQ992" s="38"/>
      <c r="AR992" s="38"/>
      <c r="AS992" s="38"/>
      <c r="AT992" s="38"/>
      <c r="AU992" s="38"/>
      <c r="AV992" s="38"/>
      <c r="AW992" s="38"/>
      <c r="AX992" s="38"/>
      <c r="AY992" s="38"/>
      <c r="AZ992" s="38"/>
      <c r="BA992" s="38"/>
      <c r="BB992" s="38"/>
      <c r="BC992" s="38"/>
      <c r="BD992" s="38"/>
      <c r="BE992" s="38"/>
      <c r="BF992" s="38"/>
      <c r="BG992" s="38"/>
      <c r="BH992" s="38"/>
      <c r="BI992" s="38"/>
      <c r="BJ992" s="38"/>
      <c r="BK992" s="38"/>
      <c r="BL992" s="38"/>
      <c r="BM992" s="38"/>
      <c r="BN992" s="38"/>
      <c r="BO992" s="38"/>
      <c r="BP992" s="38"/>
      <c r="BQ992" s="38"/>
      <c r="BR992" s="38"/>
    </row>
    <row r="993" spans="1:70">
      <c r="A993" s="38"/>
      <c r="B993" s="38"/>
      <c r="C993" s="43"/>
      <c r="D993" s="38"/>
      <c r="E993" s="38"/>
      <c r="F993" s="43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38"/>
      <c r="V993" s="38"/>
      <c r="W993" s="38"/>
      <c r="X993" s="38"/>
      <c r="Y993" s="38"/>
      <c r="Z993" s="38"/>
      <c r="AA993" s="38"/>
      <c r="AB993" s="38"/>
      <c r="AC993" s="38"/>
      <c r="AD993" s="38"/>
      <c r="AE993" s="38"/>
      <c r="AF993" s="38"/>
      <c r="AG993" s="38"/>
      <c r="AH993" s="38"/>
      <c r="AI993" s="38"/>
      <c r="AJ993" s="38"/>
      <c r="AK993" s="38"/>
      <c r="AL993" s="38"/>
      <c r="AM993" s="38"/>
      <c r="AN993" s="38"/>
      <c r="AO993" s="38"/>
      <c r="AP993" s="38"/>
      <c r="AQ993" s="38"/>
      <c r="AR993" s="38"/>
      <c r="AS993" s="38"/>
      <c r="AT993" s="38"/>
      <c r="AU993" s="38"/>
      <c r="AV993" s="38"/>
      <c r="AW993" s="38"/>
      <c r="AX993" s="38"/>
      <c r="AY993" s="38"/>
      <c r="AZ993" s="38"/>
      <c r="BA993" s="38"/>
      <c r="BB993" s="38"/>
      <c r="BC993" s="38"/>
      <c r="BD993" s="38"/>
      <c r="BE993" s="38"/>
      <c r="BF993" s="38"/>
      <c r="BG993" s="38"/>
      <c r="BH993" s="38"/>
      <c r="BI993" s="38"/>
      <c r="BJ993" s="38"/>
      <c r="BK993" s="38"/>
      <c r="BL993" s="38"/>
      <c r="BM993" s="38"/>
      <c r="BN993" s="38"/>
      <c r="BO993" s="38"/>
      <c r="BP993" s="38"/>
      <c r="BQ993" s="38"/>
      <c r="BR993" s="38"/>
    </row>
    <row r="994" spans="1:70">
      <c r="A994" s="38"/>
      <c r="B994" s="38"/>
      <c r="C994" s="43"/>
      <c r="D994" s="38"/>
      <c r="E994" s="38"/>
      <c r="F994" s="43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38"/>
      <c r="V994" s="38"/>
      <c r="W994" s="38"/>
      <c r="X994" s="38"/>
      <c r="Y994" s="38"/>
      <c r="Z994" s="38"/>
      <c r="AA994" s="38"/>
      <c r="AB994" s="38"/>
      <c r="AC994" s="38"/>
      <c r="AD994" s="38"/>
      <c r="AE994" s="38"/>
      <c r="AF994" s="38"/>
      <c r="AG994" s="38"/>
      <c r="AH994" s="38"/>
      <c r="AI994" s="38"/>
      <c r="AJ994" s="38"/>
      <c r="AK994" s="38"/>
      <c r="AL994" s="38"/>
      <c r="AM994" s="38"/>
      <c r="AN994" s="38"/>
      <c r="AO994" s="38"/>
      <c r="AP994" s="38"/>
      <c r="AQ994" s="38"/>
      <c r="AR994" s="38"/>
      <c r="AS994" s="38"/>
      <c r="AT994" s="38"/>
      <c r="AU994" s="38"/>
      <c r="AV994" s="38"/>
      <c r="AW994" s="38"/>
      <c r="AX994" s="38"/>
      <c r="AY994" s="38"/>
      <c r="AZ994" s="38"/>
      <c r="BA994" s="38"/>
      <c r="BB994" s="38"/>
      <c r="BC994" s="38"/>
      <c r="BD994" s="38"/>
      <c r="BE994" s="38"/>
      <c r="BF994" s="38"/>
      <c r="BG994" s="38"/>
      <c r="BH994" s="38"/>
      <c r="BI994" s="38"/>
      <c r="BJ994" s="38"/>
      <c r="BK994" s="38"/>
      <c r="BL994" s="38"/>
      <c r="BM994" s="38"/>
      <c r="BN994" s="38"/>
      <c r="BO994" s="38"/>
      <c r="BP994" s="38"/>
      <c r="BQ994" s="38"/>
      <c r="BR994" s="38"/>
    </row>
    <row r="995" spans="1:70">
      <c r="A995" s="38"/>
      <c r="B995" s="38"/>
      <c r="C995" s="43"/>
      <c r="D995" s="38"/>
      <c r="E995" s="38"/>
      <c r="F995" s="43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38"/>
      <c r="V995" s="38"/>
      <c r="W995" s="38"/>
      <c r="X995" s="38"/>
      <c r="Y995" s="38"/>
      <c r="Z995" s="38"/>
      <c r="AA995" s="38"/>
      <c r="AB995" s="38"/>
      <c r="AC995" s="38"/>
      <c r="AD995" s="38"/>
      <c r="AE995" s="38"/>
      <c r="AF995" s="38"/>
      <c r="AG995" s="38"/>
      <c r="AH995" s="38"/>
      <c r="AI995" s="38"/>
      <c r="AJ995" s="38"/>
      <c r="AK995" s="38"/>
      <c r="AL995" s="38"/>
      <c r="AM995" s="38"/>
      <c r="AN995" s="38"/>
      <c r="AO995" s="38"/>
      <c r="AP995" s="38"/>
      <c r="AQ995" s="38"/>
      <c r="AR995" s="38"/>
      <c r="AS995" s="38"/>
      <c r="AT995" s="38"/>
      <c r="AU995" s="38"/>
      <c r="AV995" s="38"/>
      <c r="AW995" s="38"/>
      <c r="AX995" s="38"/>
      <c r="AY995" s="38"/>
      <c r="AZ995" s="38"/>
      <c r="BA995" s="38"/>
      <c r="BB995" s="38"/>
      <c r="BC995" s="38"/>
      <c r="BD995" s="38"/>
      <c r="BE995" s="38"/>
      <c r="BF995" s="38"/>
      <c r="BG995" s="38"/>
      <c r="BH995" s="38"/>
      <c r="BI995" s="38"/>
      <c r="BJ995" s="38"/>
      <c r="BK995" s="38"/>
      <c r="BL995" s="38"/>
      <c r="BM995" s="38"/>
      <c r="BN995" s="38"/>
      <c r="BO995" s="38"/>
      <c r="BP995" s="38"/>
      <c r="BQ995" s="38"/>
      <c r="BR995" s="38"/>
    </row>
    <row r="996" spans="1:70">
      <c r="A996" s="38"/>
      <c r="B996" s="38"/>
      <c r="C996" s="43"/>
      <c r="D996" s="38"/>
      <c r="E996" s="38"/>
      <c r="F996" s="43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38"/>
      <c r="V996" s="38"/>
      <c r="W996" s="38"/>
      <c r="X996" s="38"/>
      <c r="Y996" s="38"/>
      <c r="Z996" s="38"/>
      <c r="AA996" s="38"/>
      <c r="AB996" s="38"/>
      <c r="AC996" s="38"/>
      <c r="AD996" s="38"/>
      <c r="AE996" s="38"/>
      <c r="AF996" s="38"/>
      <c r="AG996" s="38"/>
      <c r="AH996" s="38"/>
      <c r="AI996" s="38"/>
      <c r="AJ996" s="38"/>
      <c r="AK996" s="38"/>
      <c r="AL996" s="38"/>
      <c r="AM996" s="38"/>
      <c r="AN996" s="38"/>
      <c r="AO996" s="38"/>
      <c r="AP996" s="38"/>
      <c r="AQ996" s="38"/>
      <c r="AR996" s="38"/>
      <c r="AS996" s="38"/>
      <c r="AT996" s="38"/>
      <c r="AU996" s="38"/>
      <c r="AV996" s="38"/>
      <c r="AW996" s="38"/>
      <c r="AX996" s="38"/>
      <c r="AY996" s="38"/>
      <c r="AZ996" s="38"/>
      <c r="BA996" s="38"/>
      <c r="BB996" s="38"/>
      <c r="BC996" s="38"/>
      <c r="BD996" s="38"/>
      <c r="BE996" s="38"/>
      <c r="BF996" s="38"/>
      <c r="BG996" s="38"/>
      <c r="BH996" s="38"/>
      <c r="BI996" s="38"/>
      <c r="BJ996" s="38"/>
      <c r="BK996" s="38"/>
      <c r="BL996" s="38"/>
      <c r="BM996" s="38"/>
      <c r="BN996" s="38"/>
      <c r="BO996" s="38"/>
      <c r="BP996" s="38"/>
      <c r="BQ996" s="38"/>
      <c r="BR996" s="38"/>
    </row>
    <row r="997" spans="1:70">
      <c r="A997" s="38"/>
      <c r="B997" s="38"/>
      <c r="C997" s="43"/>
      <c r="D997" s="38"/>
      <c r="E997" s="38"/>
      <c r="F997" s="43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  <c r="T997" s="38"/>
      <c r="U997" s="38"/>
      <c r="V997" s="38"/>
      <c r="W997" s="38"/>
      <c r="X997" s="38"/>
      <c r="Y997" s="38"/>
      <c r="Z997" s="38"/>
      <c r="AA997" s="38"/>
      <c r="AB997" s="38"/>
      <c r="AC997" s="38"/>
      <c r="AD997" s="38"/>
      <c r="AE997" s="38"/>
      <c r="AF997" s="38"/>
      <c r="AG997" s="38"/>
      <c r="AH997" s="38"/>
      <c r="AI997" s="38"/>
      <c r="AJ997" s="38"/>
      <c r="AK997" s="38"/>
      <c r="AL997" s="38"/>
      <c r="AM997" s="38"/>
      <c r="AN997" s="38"/>
      <c r="AO997" s="38"/>
      <c r="AP997" s="38"/>
      <c r="AQ997" s="38"/>
      <c r="AR997" s="38"/>
      <c r="AS997" s="38"/>
      <c r="AT997" s="38"/>
      <c r="AU997" s="38"/>
      <c r="AV997" s="38"/>
      <c r="AW997" s="38"/>
      <c r="AX997" s="38"/>
      <c r="AY997" s="38"/>
      <c r="AZ997" s="38"/>
      <c r="BA997" s="38"/>
      <c r="BB997" s="38"/>
      <c r="BC997" s="38"/>
      <c r="BD997" s="38"/>
      <c r="BE997" s="38"/>
      <c r="BF997" s="38"/>
      <c r="BG997" s="38"/>
      <c r="BH997" s="38"/>
      <c r="BI997" s="38"/>
      <c r="BJ997" s="38"/>
      <c r="BK997" s="38"/>
      <c r="BL997" s="38"/>
      <c r="BM997" s="38"/>
      <c r="BN997" s="38"/>
      <c r="BO997" s="38"/>
      <c r="BP997" s="38"/>
      <c r="BQ997" s="38"/>
      <c r="BR997" s="38"/>
    </row>
    <row r="998" spans="1:70">
      <c r="A998" s="38"/>
      <c r="B998" s="38"/>
      <c r="C998" s="43"/>
      <c r="D998" s="38"/>
      <c r="E998" s="38"/>
      <c r="F998" s="43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  <c r="T998" s="38"/>
      <c r="U998" s="38"/>
      <c r="V998" s="38"/>
      <c r="W998" s="38"/>
      <c r="X998" s="38"/>
      <c r="Y998" s="38"/>
      <c r="Z998" s="38"/>
      <c r="AA998" s="38"/>
      <c r="AB998" s="38"/>
      <c r="AC998" s="38"/>
      <c r="AD998" s="38"/>
      <c r="AE998" s="38"/>
      <c r="AF998" s="38"/>
      <c r="AG998" s="38"/>
      <c r="AH998" s="38"/>
      <c r="AI998" s="38"/>
      <c r="AJ998" s="38"/>
      <c r="AK998" s="38"/>
      <c r="AL998" s="38"/>
      <c r="AM998" s="38"/>
      <c r="AN998" s="38"/>
      <c r="AO998" s="38"/>
      <c r="AP998" s="38"/>
      <c r="AQ998" s="38"/>
      <c r="AR998" s="38"/>
      <c r="AS998" s="38"/>
      <c r="AT998" s="38"/>
      <c r="AU998" s="38"/>
      <c r="AV998" s="38"/>
      <c r="AW998" s="38"/>
      <c r="AX998" s="38"/>
      <c r="AY998" s="38"/>
      <c r="AZ998" s="38"/>
      <c r="BA998" s="38"/>
      <c r="BB998" s="38"/>
      <c r="BC998" s="38"/>
      <c r="BD998" s="38"/>
      <c r="BE998" s="38"/>
      <c r="BF998" s="38"/>
      <c r="BG998" s="38"/>
      <c r="BH998" s="38"/>
      <c r="BI998" s="38"/>
      <c r="BJ998" s="38"/>
      <c r="BK998" s="38"/>
      <c r="BL998" s="38"/>
      <c r="BM998" s="38"/>
      <c r="BN998" s="38"/>
      <c r="BO998" s="38"/>
      <c r="BP998" s="38"/>
      <c r="BQ998" s="38"/>
      <c r="BR998" s="38"/>
    </row>
    <row r="999" spans="1:70">
      <c r="A999" s="38"/>
      <c r="B999" s="38"/>
      <c r="C999" s="43"/>
      <c r="D999" s="38"/>
      <c r="E999" s="38"/>
      <c r="F999" s="43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  <c r="T999" s="38"/>
      <c r="U999" s="38"/>
      <c r="V999" s="38"/>
      <c r="W999" s="38"/>
      <c r="X999" s="38"/>
      <c r="Y999" s="38"/>
      <c r="Z999" s="38"/>
      <c r="AA999" s="38"/>
      <c r="AB999" s="38"/>
      <c r="AC999" s="38"/>
      <c r="AD999" s="38"/>
      <c r="AE999" s="38"/>
      <c r="AF999" s="38"/>
      <c r="AG999" s="38"/>
      <c r="AH999" s="38"/>
      <c r="AI999" s="38"/>
      <c r="AJ999" s="38"/>
      <c r="AK999" s="38"/>
      <c r="AL999" s="38"/>
      <c r="AM999" s="38"/>
      <c r="AN999" s="38"/>
      <c r="AO999" s="38"/>
      <c r="AP999" s="38"/>
      <c r="AQ999" s="38"/>
      <c r="AR999" s="38"/>
      <c r="AS999" s="38"/>
      <c r="AT999" s="38"/>
      <c r="AU999" s="38"/>
      <c r="AV999" s="38"/>
      <c r="AW999" s="38"/>
      <c r="AX999" s="38"/>
      <c r="AY999" s="38"/>
      <c r="AZ999" s="38"/>
      <c r="BA999" s="38"/>
      <c r="BB999" s="38"/>
      <c r="BC999" s="38"/>
      <c r="BD999" s="38"/>
      <c r="BE999" s="38"/>
      <c r="BF999" s="38"/>
      <c r="BG999" s="38"/>
      <c r="BH999" s="38"/>
      <c r="BI999" s="38"/>
      <c r="BJ999" s="38"/>
      <c r="BK999" s="38"/>
      <c r="BL999" s="38"/>
      <c r="BM999" s="38"/>
      <c r="BN999" s="38"/>
      <c r="BO999" s="38"/>
      <c r="BP999" s="38"/>
      <c r="BQ999" s="38"/>
      <c r="BR999" s="38"/>
    </row>
    <row r="1000" spans="1:70">
      <c r="A1000" s="38"/>
      <c r="B1000" s="38"/>
      <c r="C1000" s="43"/>
      <c r="D1000" s="38"/>
      <c r="E1000" s="38"/>
      <c r="F1000" s="43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  <c r="T1000" s="38"/>
      <c r="U1000" s="38"/>
      <c r="V1000" s="38"/>
      <c r="W1000" s="38"/>
      <c r="X1000" s="38"/>
      <c r="Y1000" s="38"/>
      <c r="Z1000" s="38"/>
      <c r="AA1000" s="38"/>
      <c r="AB1000" s="38"/>
      <c r="AC1000" s="38"/>
      <c r="AD1000" s="38"/>
      <c r="AE1000" s="38"/>
      <c r="AF1000" s="38"/>
      <c r="AG1000" s="38"/>
      <c r="AH1000" s="38"/>
      <c r="AI1000" s="38"/>
      <c r="AJ1000" s="38"/>
      <c r="AK1000" s="38"/>
      <c r="AL1000" s="38"/>
      <c r="AM1000" s="38"/>
      <c r="AN1000" s="38"/>
      <c r="AO1000" s="38"/>
      <c r="AP1000" s="38"/>
      <c r="AQ1000" s="38"/>
      <c r="AR1000" s="38"/>
      <c r="AS1000" s="38"/>
      <c r="AT1000" s="38"/>
      <c r="AU1000" s="38"/>
      <c r="AV1000" s="38"/>
      <c r="AW1000" s="38"/>
      <c r="AX1000" s="38"/>
      <c r="AY1000" s="38"/>
      <c r="AZ1000" s="38"/>
      <c r="BA1000" s="38"/>
      <c r="BB1000" s="38"/>
      <c r="BC1000" s="38"/>
      <c r="BD1000" s="38"/>
      <c r="BE1000" s="38"/>
      <c r="BF1000" s="38"/>
      <c r="BG1000" s="38"/>
      <c r="BH1000" s="38"/>
      <c r="BI1000" s="38"/>
      <c r="BJ1000" s="38"/>
      <c r="BK1000" s="38"/>
      <c r="BL1000" s="38"/>
      <c r="BM1000" s="38"/>
      <c r="BN1000" s="38"/>
      <c r="BO1000" s="38"/>
      <c r="BP1000" s="38"/>
      <c r="BQ1000" s="38"/>
      <c r="BR1000" s="3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40</vt:i4>
      </vt:variant>
    </vt:vector>
  </HeadingPairs>
  <TitlesOfParts>
    <vt:vector size="42" baseType="lpstr">
      <vt:lpstr>Combat calc</vt:lpstr>
      <vt:lpstr>Lists</vt:lpstr>
      <vt:lpstr>attack_effect</vt:lpstr>
      <vt:lpstr>attacks</vt:lpstr>
      <vt:lpstr>attacks_list</vt:lpstr>
      <vt:lpstr>body</vt:lpstr>
      <vt:lpstr>crit_wound</vt:lpstr>
      <vt:lpstr>crit_wound_effect</vt:lpstr>
      <vt:lpstr>critical</vt:lpstr>
      <vt:lpstr>critical_list</vt:lpstr>
      <vt:lpstr>defense</vt:lpstr>
      <vt:lpstr>defense_list</vt:lpstr>
      <vt:lpstr>dmg_body_mod</vt:lpstr>
      <vt:lpstr>dmg_crit_bonus</vt:lpstr>
      <vt:lpstr>dmg_location_mult</vt:lpstr>
      <vt:lpstr>dmg_oil_silver_bonus</vt:lpstr>
      <vt:lpstr>dmg_resist_mult</vt:lpstr>
      <vt:lpstr>dmg_strike_mult</vt:lpstr>
      <vt:lpstr>dmg_total</vt:lpstr>
      <vt:lpstr>dmg_total_sp</vt:lpstr>
      <vt:lpstr>dmg_weapon</vt:lpstr>
      <vt:lpstr>hit_loc_crit</vt:lpstr>
      <vt:lpstr>hit_loc_crit_aimed_head</vt:lpstr>
      <vt:lpstr>hit_loc_crit_aimed_torso</vt:lpstr>
      <vt:lpstr>hit_loc_crit_aimed_type</vt:lpstr>
      <vt:lpstr>hit_loc_die</vt:lpstr>
      <vt:lpstr>hit_loc_die_list</vt:lpstr>
      <vt:lpstr>hit_loc_human</vt:lpstr>
      <vt:lpstr>hit_loc_monster</vt:lpstr>
      <vt:lpstr>light</vt:lpstr>
      <vt:lpstr>light_list</vt:lpstr>
      <vt:lpstr>nc_critical</vt:lpstr>
      <vt:lpstr>random_hit_roll</vt:lpstr>
      <vt:lpstr>range</vt:lpstr>
      <vt:lpstr>range_list</vt:lpstr>
      <vt:lpstr>resist</vt:lpstr>
      <vt:lpstr>resist_list</vt:lpstr>
      <vt:lpstr>size</vt:lpstr>
      <vt:lpstr>size_list</vt:lpstr>
      <vt:lpstr>strike_list</vt:lpstr>
      <vt:lpstr>targeting</vt:lpstr>
      <vt:lpstr>targeting_list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Кедах Кэд</dc:creator>
  <cp:lastModifiedBy>Кедах Кэд</cp:lastModifiedBy>
  <dcterms:created xsi:type="dcterms:W3CDTF">2021-04-05T11:37:23Z</dcterms:created>
  <dcterms:modified xsi:type="dcterms:W3CDTF">2021-04-05T14:10:28Z</dcterms:modified>
</cp:coreProperties>
</file>