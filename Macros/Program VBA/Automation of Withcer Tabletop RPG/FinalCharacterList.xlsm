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
    </mc:Choice>
  </mc:AlternateContent>
  <xr:revisionPtr revIDLastSave="0" documentId="13_ncr:1_{5AB5F7B7-6D6B-411F-AEEE-0A17FAA3F82E}"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2" i="1"/>
  <c r="Y31" i="1"/>
  <c r="Y30" i="1"/>
  <c r="Y29" i="1"/>
  <c r="Y28" i="1"/>
  <c r="Y24" i="1"/>
  <c r="Y23" i="1"/>
  <c r="Y22" i="1"/>
  <c r="Y21" i="1"/>
  <c r="Y20" i="1"/>
  <c r="Y19" i="1"/>
  <c r="AF36" i="1" l="1"/>
  <c r="AF37" i="1"/>
  <c r="AF35" i="1"/>
  <c r="AS2" i="1" l="1"/>
  <c r="AU6" i="1" l="1"/>
  <c r="AS5" i="1"/>
  <c r="AS4" i="1"/>
  <c r="BP3" i="1" l="1"/>
  <c r="Z39" i="1"/>
  <c r="I5" i="7" l="1"/>
  <c r="H5" i="7"/>
  <c r="G5" i="7"/>
  <c r="F5" i="7"/>
  <c r="E5" i="7"/>
  <c r="D5" i="7"/>
  <c r="C5" i="7"/>
  <c r="B5" i="7"/>
  <c r="A5" i="7"/>
  <c r="J18" i="1"/>
  <c r="AS6" i="1" s="1"/>
  <c r="J23" i="1"/>
  <c r="J22" i="1"/>
  <c r="J16" i="1"/>
  <c r="J17" i="1" s="1"/>
  <c r="X7" i="1"/>
  <c r="X3" i="1"/>
  <c r="Z2" i="1" s="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<sst xmlns="http://schemas.openxmlformats.org/spreadsheetml/2006/main" count="1460" uniqueCount="899">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</sst>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5">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0" borderId="31" xfId="0" applyFont="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55" xfId="0" applyFont="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xf numFmtId="2" fontId="1" fillId="0" borderId="34" xfId="0" applyNumberFormat="1" applyFont="1" applyFill="1" applyBorder="1" applyAlignment="1">
      <alignment horizontal="center" vertical="center"/>
    </xf>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L22" zoomScaleNormal="100" workbookViewId="0">
      <selection activeCell="Y29" sqref="Y29:AB3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5"/>
      <c r="C1" s="225"/>
      <c r="D1" s="225"/>
      <c r="E1" s="225"/>
      <c r="F1" s="225"/>
      <c r="G1" s="225"/>
      <c r="H1" s="225"/>
      <c r="I1" s="225"/>
      <c r="J1" s="225"/>
      <c r="L1" s="346"/>
      <c r="M1" s="347"/>
      <c r="N1" s="347"/>
      <c r="O1" s="347"/>
      <c r="P1" s="347"/>
      <c r="Q1" s="347"/>
      <c r="R1" s="347"/>
      <c r="S1" s="348"/>
    </row>
    <row r="2" spans="2:77" ht="15.75" customHeight="1" thickTop="1">
      <c r="B2" s="226" t="s">
        <v>15</v>
      </c>
      <c r="C2" s="227"/>
      <c r="D2" s="385"/>
      <c r="E2" s="386"/>
      <c r="F2" s="386"/>
      <c r="G2" s="386"/>
      <c r="H2" s="386"/>
      <c r="I2" s="386"/>
      <c r="J2" s="387"/>
      <c r="L2" s="349"/>
      <c r="M2" s="350"/>
      <c r="N2" s="350"/>
      <c r="O2" s="350"/>
      <c r="P2" s="350"/>
      <c r="Q2" s="350"/>
      <c r="R2" s="350"/>
      <c r="S2" s="351"/>
      <c r="U2" s="307" t="s">
        <v>128</v>
      </c>
      <c r="V2" s="308"/>
      <c r="W2" s="308"/>
      <c r="X2" s="308"/>
      <c r="Y2" s="309"/>
      <c r="Z2" s="233" t="e">
        <f>X3/5</f>
        <v>#N/A</v>
      </c>
      <c r="AA2" s="234"/>
      <c r="AB2" s="235"/>
      <c r="AE2" s="226" t="s">
        <v>129</v>
      </c>
      <c r="AF2" s="227"/>
      <c r="AG2" s="385"/>
      <c r="AH2" s="386"/>
      <c r="AI2" s="387"/>
      <c r="AK2" s="226" t="s">
        <v>131</v>
      </c>
      <c r="AL2" s="297"/>
      <c r="AM2" s="297"/>
      <c r="AN2" s="219" t="s">
        <v>895</v>
      </c>
      <c r="AP2" s="226" t="s">
        <v>132</v>
      </c>
      <c r="AQ2" s="297"/>
      <c r="AR2" s="227"/>
      <c r="AS2" s="385">
        <f>AU10+AU11+AU12+AU13+AU14+AU15</f>
        <v>0</v>
      </c>
      <c r="AT2" s="386"/>
      <c r="AU2" s="387"/>
      <c r="AX2" s="226" t="s">
        <v>148</v>
      </c>
      <c r="AY2" s="297"/>
      <c r="AZ2" s="297"/>
      <c r="BA2" s="297"/>
      <c r="BB2" s="297"/>
      <c r="BC2" s="297"/>
      <c r="BD2" s="297"/>
      <c r="BE2" s="329"/>
      <c r="BG2" s="226" t="s">
        <v>152</v>
      </c>
      <c r="BH2" s="227"/>
      <c r="BI2" s="7" t="e">
        <f>INDEX(Профессия!C1:C9,MATCH('ЛИСТ ПЕРСОНАЖА'!D8,Профессия!A1:A9,0))</f>
        <v>#N/A</v>
      </c>
      <c r="BL2" s="455" t="s">
        <v>160</v>
      </c>
      <c r="BM2" s="452" t="s">
        <v>825</v>
      </c>
      <c r="BO2" s="226" t="s">
        <v>168</v>
      </c>
      <c r="BP2" s="329"/>
      <c r="BS2" s="455" t="s">
        <v>160</v>
      </c>
      <c r="BT2" s="452" t="s">
        <v>825</v>
      </c>
      <c r="BV2" s="226" t="s">
        <v>1</v>
      </c>
      <c r="BW2" s="297"/>
      <c r="BX2" s="297"/>
      <c r="BY2" s="329"/>
    </row>
    <row r="3" spans="2:77" ht="16.5">
      <c r="B3" s="249" t="s">
        <v>16</v>
      </c>
      <c r="C3" s="251"/>
      <c r="D3" s="252"/>
      <c r="E3" s="253"/>
      <c r="F3" s="253"/>
      <c r="G3" s="253"/>
      <c r="H3" s="253"/>
      <c r="I3" s="253"/>
      <c r="J3" s="254"/>
      <c r="L3" s="349"/>
      <c r="M3" s="350"/>
      <c r="N3" s="350"/>
      <c r="O3" s="350"/>
      <c r="P3" s="350"/>
      <c r="Q3" s="350"/>
      <c r="R3" s="350"/>
      <c r="S3" s="351"/>
      <c r="U3" s="323" t="s">
        <v>35</v>
      </c>
      <c r="V3" s="324"/>
      <c r="W3" s="325"/>
      <c r="X3" s="311" t="e">
        <f>INDEX('Таблица физ параметров'!B3:B14,MATCH('Таблица физ параметров'!C1,'Таблица физ параметров'!A3:A14,0))</f>
        <v>#N/A</v>
      </c>
      <c r="Y3" s="321"/>
      <c r="Z3" s="311"/>
      <c r="AA3" s="312"/>
      <c r="AB3" s="313"/>
      <c r="AE3" s="262" t="s">
        <v>130</v>
      </c>
      <c r="AF3" s="263"/>
      <c r="AG3" s="352"/>
      <c r="AH3" s="305"/>
      <c r="AI3" s="306"/>
      <c r="AK3" s="269"/>
      <c r="AL3" s="253"/>
      <c r="AM3" s="279"/>
      <c r="AN3" s="35"/>
      <c r="AP3" s="249" t="s">
        <v>133</v>
      </c>
      <c r="AQ3" s="250"/>
      <c r="AR3" s="251"/>
      <c r="AS3" s="252"/>
      <c r="AT3" s="253"/>
      <c r="AU3" s="254"/>
      <c r="AX3" s="249" t="s">
        <v>127</v>
      </c>
      <c r="AY3" s="251"/>
      <c r="AZ3" s="59" t="s">
        <v>149</v>
      </c>
      <c r="BA3" s="3" t="s">
        <v>63</v>
      </c>
      <c r="BB3" s="60" t="s">
        <v>150</v>
      </c>
      <c r="BC3" s="428" t="s">
        <v>151</v>
      </c>
      <c r="BD3" s="429"/>
      <c r="BE3" s="430"/>
      <c r="BG3" s="262" t="s">
        <v>154</v>
      </c>
      <c r="BH3" s="263"/>
      <c r="BI3" s="34"/>
      <c r="BL3" s="456"/>
      <c r="BM3" s="449"/>
      <c r="BO3" s="437" t="s">
        <v>19</v>
      </c>
      <c r="BP3" s="432" t="str">
        <f>D6</f>
        <v>-</v>
      </c>
      <c r="BS3" s="456"/>
      <c r="BT3" s="449"/>
      <c r="BV3" s="503" t="s">
        <v>176</v>
      </c>
      <c r="BW3" s="220"/>
      <c r="BX3" s="425" t="s">
        <v>177</v>
      </c>
      <c r="BY3" s="432"/>
    </row>
    <row r="4" spans="2:77" ht="15.75" customHeight="1">
      <c r="B4" s="249" t="s">
        <v>17</v>
      </c>
      <c r="C4" s="251"/>
      <c r="D4" s="252" t="s">
        <v>898</v>
      </c>
      <c r="E4" s="253"/>
      <c r="F4" s="253"/>
      <c r="G4" s="253"/>
      <c r="H4" s="253"/>
      <c r="I4" s="253"/>
      <c r="J4" s="254"/>
      <c r="L4" s="349"/>
      <c r="M4" s="350"/>
      <c r="N4" s="350"/>
      <c r="O4" s="350"/>
      <c r="P4" s="350"/>
      <c r="Q4" s="350"/>
      <c r="R4" s="350"/>
      <c r="S4" s="351"/>
      <c r="U4" s="326"/>
      <c r="V4" s="327"/>
      <c r="W4" s="328"/>
      <c r="X4" s="314"/>
      <c r="Y4" s="322"/>
      <c r="Z4" s="314"/>
      <c r="AA4" s="315"/>
      <c r="AB4" s="316"/>
      <c r="AE4" s="269"/>
      <c r="AF4" s="253"/>
      <c r="AG4" s="253"/>
      <c r="AH4" s="253"/>
      <c r="AI4" s="254"/>
      <c r="AK4" s="269"/>
      <c r="AL4" s="253"/>
      <c r="AM4" s="279"/>
      <c r="AN4" s="34"/>
      <c r="AP4" s="255" t="s">
        <v>134</v>
      </c>
      <c r="AQ4" s="481"/>
      <c r="AR4" s="256"/>
      <c r="AS4" s="346">
        <f>SUM(AU19:AU38)</f>
        <v>0</v>
      </c>
      <c r="AT4" s="347"/>
      <c r="AU4" s="427"/>
      <c r="AX4" s="424"/>
      <c r="AY4" s="348"/>
      <c r="AZ4" s="425"/>
      <c r="BA4" s="425"/>
      <c r="BB4" s="425"/>
      <c r="BC4" s="346"/>
      <c r="BD4" s="347"/>
      <c r="BE4" s="427"/>
      <c r="BG4" s="501" t="s">
        <v>153</v>
      </c>
      <c r="BH4" s="502"/>
      <c r="BI4" s="18"/>
      <c r="BL4" s="457" t="s">
        <v>161</v>
      </c>
      <c r="BM4" s="448" t="s">
        <v>836</v>
      </c>
      <c r="BO4" s="436"/>
      <c r="BP4" s="434"/>
      <c r="BS4" s="457" t="s">
        <v>161</v>
      </c>
      <c r="BT4" s="448" t="s">
        <v>836</v>
      </c>
      <c r="BV4" s="504"/>
      <c r="BW4" s="21"/>
      <c r="BX4" s="426"/>
      <c r="BY4" s="434"/>
    </row>
    <row r="5" spans="2:77" ht="15.75" thickBot="1">
      <c r="B5" s="249" t="s">
        <v>18</v>
      </c>
      <c r="C5" s="251"/>
      <c r="D5" s="252" t="s">
        <v>898</v>
      </c>
      <c r="E5" s="253"/>
      <c r="F5" s="253"/>
      <c r="G5" s="253"/>
      <c r="H5" s="253"/>
      <c r="I5" s="253"/>
      <c r="J5" s="254"/>
      <c r="L5" s="349"/>
      <c r="M5" s="350"/>
      <c r="N5" s="350"/>
      <c r="O5" s="350"/>
      <c r="P5" s="350"/>
      <c r="Q5" s="350"/>
      <c r="R5" s="350"/>
      <c r="S5" s="351"/>
      <c r="U5" s="330" t="s">
        <v>36</v>
      </c>
      <c r="V5" s="331"/>
      <c r="W5" s="332"/>
      <c r="X5" s="311" t="e">
        <f>INDEX('Таблица физ параметров'!C3:C14,MATCH('Таблица физ параметров'!C1,'Таблица физ параметров'!A3:A14,0))</f>
        <v>#N/A</v>
      </c>
      <c r="Y5" s="321"/>
      <c r="Z5" s="311"/>
      <c r="AA5" s="312"/>
      <c r="AB5" s="313"/>
      <c r="AE5" s="269"/>
      <c r="AF5" s="253"/>
      <c r="AG5" s="253"/>
      <c r="AH5" s="253"/>
      <c r="AI5" s="254"/>
      <c r="AK5" s="269"/>
      <c r="AL5" s="253"/>
      <c r="AM5" s="279"/>
      <c r="AN5" s="34"/>
      <c r="AP5" s="466" t="s">
        <v>135</v>
      </c>
      <c r="AQ5" s="467"/>
      <c r="AR5" s="468"/>
      <c r="AS5" s="482">
        <f>SUM(AM19:AN31)</f>
        <v>0</v>
      </c>
      <c r="AT5" s="483"/>
      <c r="AU5" s="484"/>
      <c r="AX5" s="304"/>
      <c r="AY5" s="353"/>
      <c r="AZ5" s="426"/>
      <c r="BA5" s="426"/>
      <c r="BB5" s="426"/>
      <c r="BC5" s="352"/>
      <c r="BD5" s="305"/>
      <c r="BE5" s="306"/>
      <c r="BG5" s="269"/>
      <c r="BH5" s="253"/>
      <c r="BI5" s="254"/>
      <c r="BL5" s="456"/>
      <c r="BM5" s="449"/>
      <c r="BO5" s="437" t="s">
        <v>169</v>
      </c>
      <c r="BP5" s="498"/>
      <c r="BS5" s="456"/>
      <c r="BT5" s="449"/>
      <c r="BV5" s="503" t="s">
        <v>178</v>
      </c>
      <c r="BW5" s="515"/>
      <c r="BX5" s="516"/>
      <c r="BY5" s="459"/>
    </row>
    <row r="6" spans="2:77" ht="15.75" customHeight="1" thickBot="1">
      <c r="B6" s="249" t="s">
        <v>19</v>
      </c>
      <c r="C6" s="251"/>
      <c r="D6" s="388" t="s">
        <v>898</v>
      </c>
      <c r="E6" s="389"/>
      <c r="F6" s="389"/>
      <c r="G6" s="389"/>
      <c r="H6" s="389"/>
      <c r="I6" s="389"/>
      <c r="J6" s="390"/>
      <c r="L6" s="349"/>
      <c r="M6" s="350"/>
      <c r="N6" s="350"/>
      <c r="O6" s="350"/>
      <c r="P6" s="350"/>
      <c r="Q6" s="350"/>
      <c r="R6" s="350"/>
      <c r="S6" s="351"/>
      <c r="U6" s="333"/>
      <c r="V6" s="334"/>
      <c r="W6" s="335"/>
      <c r="X6" s="314"/>
      <c r="Y6" s="322"/>
      <c r="Z6" s="314"/>
      <c r="AA6" s="315"/>
      <c r="AB6" s="316"/>
      <c r="AE6" s="294"/>
      <c r="AF6" s="295"/>
      <c r="AG6" s="295"/>
      <c r="AH6" s="295"/>
      <c r="AI6" s="296"/>
      <c r="AK6" s="294"/>
      <c r="AL6" s="295"/>
      <c r="AM6" s="415"/>
      <c r="AN6" s="216"/>
      <c r="AP6" s="469" t="s">
        <v>136</v>
      </c>
      <c r="AQ6" s="470"/>
      <c r="AR6" s="471"/>
      <c r="AS6" s="464">
        <f>J18+AN3+AN4+AN5+AN6</f>
        <v>0</v>
      </c>
      <c r="AT6" s="465"/>
      <c r="AU6" s="43">
        <f>AS5+AS4+AS3+AS2</f>
        <v>0</v>
      </c>
      <c r="AX6" s="424"/>
      <c r="AY6" s="348"/>
      <c r="AZ6" s="425"/>
      <c r="BA6" s="425"/>
      <c r="BB6" s="425"/>
      <c r="BC6" s="346"/>
      <c r="BD6" s="347"/>
      <c r="BE6" s="427"/>
      <c r="BG6" s="269"/>
      <c r="BH6" s="253"/>
      <c r="BI6" s="254"/>
      <c r="BL6" s="457" t="s">
        <v>162</v>
      </c>
      <c r="BM6" s="448" t="s">
        <v>846</v>
      </c>
      <c r="BO6" s="436"/>
      <c r="BP6" s="500"/>
      <c r="BS6" s="457" t="s">
        <v>162</v>
      </c>
      <c r="BT6" s="448" t="s">
        <v>846</v>
      </c>
      <c r="BV6" s="504"/>
      <c r="BW6" s="517"/>
      <c r="BX6" s="518"/>
      <c r="BY6" s="461"/>
    </row>
    <row r="7" spans="2:77" ht="16.5" customHeight="1" thickTop="1" thickBot="1">
      <c r="B7" s="249" t="s">
        <v>20</v>
      </c>
      <c r="C7" s="251"/>
      <c r="D7" s="252"/>
      <c r="E7" s="253"/>
      <c r="F7" s="253"/>
      <c r="G7" s="253"/>
      <c r="H7" s="253"/>
      <c r="I7" s="253"/>
      <c r="J7" s="254"/>
      <c r="L7" s="349"/>
      <c r="M7" s="350"/>
      <c r="N7" s="350"/>
      <c r="O7" s="350"/>
      <c r="P7" s="350"/>
      <c r="Q7" s="350"/>
      <c r="R7" s="350"/>
      <c r="S7" s="351"/>
      <c r="U7" s="336" t="s">
        <v>518</v>
      </c>
      <c r="V7" s="337"/>
      <c r="W7" s="338"/>
      <c r="X7" s="311">
        <f>ROUNDDOWN((C22+C15)/2*5,0)</f>
        <v>0</v>
      </c>
      <c r="Y7" s="321"/>
      <c r="Z7" s="311"/>
      <c r="AA7" s="312"/>
      <c r="AB7" s="313"/>
      <c r="AX7" s="304"/>
      <c r="AY7" s="353"/>
      <c r="AZ7" s="426"/>
      <c r="BA7" s="426"/>
      <c r="BB7" s="426"/>
      <c r="BC7" s="352"/>
      <c r="BD7" s="305"/>
      <c r="BE7" s="306"/>
      <c r="BG7" s="249" t="s">
        <v>53</v>
      </c>
      <c r="BH7" s="250"/>
      <c r="BI7" s="258"/>
      <c r="BL7" s="456"/>
      <c r="BM7" s="449"/>
      <c r="BO7" s="437" t="s">
        <v>170</v>
      </c>
      <c r="BP7" s="498"/>
      <c r="BS7" s="456"/>
      <c r="BT7" s="449"/>
      <c r="BV7" s="503" t="s">
        <v>179</v>
      </c>
      <c r="BW7" s="515"/>
      <c r="BX7" s="516"/>
      <c r="BY7" s="459"/>
    </row>
    <row r="8" spans="2:77" ht="15.75" customHeight="1" thickTop="1" thickBot="1">
      <c r="B8" s="280" t="s">
        <v>21</v>
      </c>
      <c r="C8" s="281"/>
      <c r="D8" s="391" t="s">
        <v>898</v>
      </c>
      <c r="E8" s="392"/>
      <c r="F8" s="392"/>
      <c r="G8" s="392"/>
      <c r="H8" s="392"/>
      <c r="I8" s="392"/>
      <c r="J8" s="393"/>
      <c r="L8" s="352"/>
      <c r="M8" s="305"/>
      <c r="N8" s="305"/>
      <c r="O8" s="305"/>
      <c r="P8" s="305"/>
      <c r="Q8" s="305"/>
      <c r="R8" s="305"/>
      <c r="S8" s="353"/>
      <c r="U8" s="339"/>
      <c r="V8" s="340"/>
      <c r="W8" s="341"/>
      <c r="X8" s="342"/>
      <c r="Y8" s="345"/>
      <c r="Z8" s="342"/>
      <c r="AA8" s="343"/>
      <c r="AB8" s="344"/>
      <c r="AE8" s="485" t="s">
        <v>727</v>
      </c>
      <c r="AF8" s="227"/>
      <c r="AG8" s="486"/>
      <c r="AH8" s="486"/>
      <c r="AI8" s="486"/>
      <c r="AJ8" s="486"/>
      <c r="AK8" s="486"/>
      <c r="AL8" s="486"/>
      <c r="AM8" s="486"/>
      <c r="AN8" s="486"/>
      <c r="AO8" s="486"/>
      <c r="AP8" s="486"/>
      <c r="AQ8" s="486"/>
      <c r="AR8" s="486"/>
      <c r="AS8" s="486"/>
      <c r="AT8" s="486"/>
      <c r="AU8" s="487"/>
      <c r="AX8" s="424"/>
      <c r="AY8" s="348"/>
      <c r="AZ8" s="425"/>
      <c r="BA8" s="425"/>
      <c r="BB8" s="425"/>
      <c r="BC8" s="346"/>
      <c r="BD8" s="347"/>
      <c r="BE8" s="427"/>
      <c r="BG8" s="269"/>
      <c r="BH8" s="253"/>
      <c r="BI8" s="254"/>
      <c r="BL8" s="457" t="s">
        <v>163</v>
      </c>
      <c r="BM8" s="448" t="s">
        <v>855</v>
      </c>
      <c r="BO8" s="436"/>
      <c r="BP8" s="500"/>
      <c r="BS8" s="457" t="s">
        <v>163</v>
      </c>
      <c r="BT8" s="448" t="s">
        <v>855</v>
      </c>
      <c r="BV8" s="504"/>
      <c r="BW8" s="517"/>
      <c r="BX8" s="518"/>
      <c r="BY8" s="461"/>
    </row>
    <row r="9" spans="2:77" ht="15.75" customHeight="1" thickTop="1" thickBot="1">
      <c r="B9" s="42"/>
      <c r="C9" s="42"/>
      <c r="D9" s="42"/>
      <c r="E9" s="42"/>
      <c r="F9" s="40"/>
      <c r="G9" s="40"/>
      <c r="H9" s="40"/>
      <c r="I9" s="40"/>
      <c r="J9" s="40"/>
      <c r="K9" s="10"/>
      <c r="L9" s="301" t="s">
        <v>23</v>
      </c>
      <c r="M9" s="302"/>
      <c r="N9" s="302"/>
      <c r="O9" s="303"/>
      <c r="P9" s="298"/>
      <c r="Q9" s="299"/>
      <c r="R9" s="299"/>
      <c r="S9" s="300"/>
      <c r="AE9" s="49" t="s">
        <v>5</v>
      </c>
      <c r="AF9" s="264" t="s">
        <v>127</v>
      </c>
      <c r="AG9" s="250"/>
      <c r="AH9" s="250"/>
      <c r="AI9" s="250"/>
      <c r="AJ9" s="251"/>
      <c r="AK9" s="24" t="s">
        <v>137</v>
      </c>
      <c r="AL9" s="24" t="s">
        <v>28</v>
      </c>
      <c r="AM9" s="24" t="s">
        <v>138</v>
      </c>
      <c r="AN9" s="24" t="s">
        <v>139</v>
      </c>
      <c r="AO9" s="24" t="s">
        <v>140</v>
      </c>
      <c r="AP9" s="444" t="s">
        <v>63</v>
      </c>
      <c r="AQ9" s="444"/>
      <c r="AR9" s="444"/>
      <c r="AS9" s="24" t="s">
        <v>141</v>
      </c>
      <c r="AT9" s="24" t="s">
        <v>142</v>
      </c>
      <c r="AU9" s="25" t="s">
        <v>143</v>
      </c>
      <c r="AX9" s="304"/>
      <c r="AY9" s="353"/>
      <c r="AZ9" s="426"/>
      <c r="BA9" s="426"/>
      <c r="BB9" s="426"/>
      <c r="BC9" s="352"/>
      <c r="BD9" s="305"/>
      <c r="BE9" s="306"/>
      <c r="BG9" s="269"/>
      <c r="BH9" s="253"/>
      <c r="BI9" s="254"/>
      <c r="BL9" s="456"/>
      <c r="BM9" s="449"/>
      <c r="BO9" s="437" t="s">
        <v>171</v>
      </c>
      <c r="BP9" s="498"/>
      <c r="BS9" s="456"/>
      <c r="BT9" s="449"/>
      <c r="BV9" s="503" t="s">
        <v>180</v>
      </c>
      <c r="BW9" s="515"/>
      <c r="BX9" s="516"/>
      <c r="BY9" s="459"/>
    </row>
    <row r="10" spans="2:77" ht="15.75" customHeight="1" thickTop="1" thickBot="1">
      <c r="B10" s="228" t="s">
        <v>22</v>
      </c>
      <c r="C10" s="229"/>
      <c r="D10" s="230" t="e">
        <f>INDEX('Раса&amp;Родина'!E1:E5,MATCH('ЛИСТ ПЕРСОНАЖА'!D4,'Раса&amp;Родина'!A1:A5,0))</f>
        <v>#N/A</v>
      </c>
      <c r="E10" s="231"/>
      <c r="F10" s="231"/>
      <c r="G10" s="231"/>
      <c r="H10" s="231"/>
      <c r="I10" s="231"/>
      <c r="J10" s="232"/>
      <c r="K10" s="10"/>
      <c r="L10" s="280" t="s">
        <v>24</v>
      </c>
      <c r="M10" s="320"/>
      <c r="N10" s="320"/>
      <c r="O10" s="281"/>
      <c r="P10" s="317"/>
      <c r="Q10" s="318"/>
      <c r="R10" s="318"/>
      <c r="S10" s="319"/>
      <c r="U10" s="226" t="s">
        <v>54</v>
      </c>
      <c r="V10" s="297"/>
      <c r="W10" s="297"/>
      <c r="X10" s="297"/>
      <c r="Y10" s="297"/>
      <c r="Z10" s="227"/>
      <c r="AA10" s="53" t="s">
        <v>56</v>
      </c>
      <c r="AB10" s="54" t="s">
        <v>57</v>
      </c>
      <c r="AE10" s="55"/>
      <c r="AF10" s="265" t="s">
        <v>896</v>
      </c>
      <c r="AG10" s="223"/>
      <c r="AH10" s="223"/>
      <c r="AI10" s="223"/>
      <c r="AJ10" s="224"/>
      <c r="AK10" s="33" t="s">
        <v>896</v>
      </c>
      <c r="AL10" s="33" t="s">
        <v>896</v>
      </c>
      <c r="AM10" s="33" t="s">
        <v>896</v>
      </c>
      <c r="AN10" s="33" t="s">
        <v>896</v>
      </c>
      <c r="AO10" s="33" t="s">
        <v>896</v>
      </c>
      <c r="AP10" s="474" t="s">
        <v>896</v>
      </c>
      <c r="AQ10" s="474"/>
      <c r="AR10" s="474"/>
      <c r="AS10" s="33"/>
      <c r="AT10" s="33"/>
      <c r="AU10" s="217"/>
      <c r="AX10" s="424"/>
      <c r="AY10" s="348"/>
      <c r="AZ10" s="425"/>
      <c r="BA10" s="425"/>
      <c r="BB10" s="425"/>
      <c r="BC10" s="346"/>
      <c r="BD10" s="347"/>
      <c r="BE10" s="427"/>
      <c r="BG10" s="269"/>
      <c r="BH10" s="253"/>
      <c r="BI10" s="254"/>
      <c r="BL10" s="457" t="s">
        <v>164</v>
      </c>
      <c r="BM10" s="448" t="s">
        <v>866</v>
      </c>
      <c r="BO10" s="436"/>
      <c r="BP10" s="500"/>
      <c r="BS10" s="457" t="s">
        <v>164</v>
      </c>
      <c r="BT10" s="448" t="s">
        <v>866</v>
      </c>
      <c r="BV10" s="504"/>
      <c r="BW10" s="517"/>
      <c r="BX10" s="518"/>
      <c r="BY10" s="461"/>
    </row>
    <row r="11" spans="2:77" ht="15.75" customHeight="1" thickTop="1" thickBot="1">
      <c r="B11" s="287" t="e">
        <f>INDEX('Раса&amp;Родина'!F1:F5,MATCH('ЛИСТ ПЕРСОНАЖА'!D4,'Раса&amp;Родина'!A1:A5,0))</f>
        <v>#N/A</v>
      </c>
      <c r="C11" s="288"/>
      <c r="D11" s="288"/>
      <c r="E11" s="288"/>
      <c r="F11" s="288"/>
      <c r="G11" s="288"/>
      <c r="H11" s="288"/>
      <c r="I11" s="288"/>
      <c r="J11" s="289"/>
      <c r="K11" s="10"/>
      <c r="U11" s="310"/>
      <c r="V11" s="223"/>
      <c r="W11" s="223"/>
      <c r="X11" s="223"/>
      <c r="Y11" s="223"/>
      <c r="Z11" s="224"/>
      <c r="AA11" s="38"/>
      <c r="AB11" s="35"/>
      <c r="AE11" s="55"/>
      <c r="AF11" s="265" t="s">
        <v>896</v>
      </c>
      <c r="AG11" s="223"/>
      <c r="AH11" s="223"/>
      <c r="AI11" s="223"/>
      <c r="AJ11" s="224"/>
      <c r="AK11" s="33" t="s">
        <v>896</v>
      </c>
      <c r="AL11" s="33" t="s">
        <v>896</v>
      </c>
      <c r="AM11" s="33" t="s">
        <v>896</v>
      </c>
      <c r="AN11" s="33" t="s">
        <v>896</v>
      </c>
      <c r="AO11" s="33" t="s">
        <v>896</v>
      </c>
      <c r="AP11" s="474" t="s">
        <v>896</v>
      </c>
      <c r="AQ11" s="474"/>
      <c r="AR11" s="474"/>
      <c r="AS11" s="33" t="s">
        <v>896</v>
      </c>
      <c r="AT11" s="33" t="s">
        <v>896</v>
      </c>
      <c r="AU11" s="217"/>
      <c r="AX11" s="304"/>
      <c r="AY11" s="353"/>
      <c r="AZ11" s="426"/>
      <c r="BA11" s="426"/>
      <c r="BB11" s="426"/>
      <c r="BC11" s="352"/>
      <c r="BD11" s="305"/>
      <c r="BE11" s="306"/>
      <c r="BG11" s="269"/>
      <c r="BH11" s="253"/>
      <c r="BI11" s="254"/>
      <c r="BL11" s="456"/>
      <c r="BM11" s="449"/>
      <c r="BO11" s="496" t="s">
        <v>172</v>
      </c>
      <c r="BP11" s="498"/>
      <c r="BS11" s="456"/>
      <c r="BT11" s="449"/>
      <c r="BV11" s="503" t="s">
        <v>181</v>
      </c>
      <c r="BW11" s="515"/>
      <c r="BX11" s="516"/>
      <c r="BY11" s="459"/>
    </row>
    <row r="12" spans="2:77" ht="15.75" customHeight="1" thickTop="1" thickBot="1">
      <c r="B12" s="287" t="e">
        <f>INDEX('Раса&amp;Родина'!G1:G5,MATCH('ЛИСТ ПЕРСОНАЖА'!D4,'Раса&amp;Родина'!A1:A5,0))</f>
        <v>#N/A</v>
      </c>
      <c r="C12" s="288"/>
      <c r="D12" s="288"/>
      <c r="E12" s="288"/>
      <c r="F12" s="288"/>
      <c r="G12" s="288"/>
      <c r="H12" s="288"/>
      <c r="I12" s="288"/>
      <c r="J12" s="289"/>
      <c r="K12" s="10"/>
      <c r="L12" s="226" t="s">
        <v>25</v>
      </c>
      <c r="M12" s="297"/>
      <c r="N12" s="297"/>
      <c r="O12" s="297"/>
      <c r="P12" s="297"/>
      <c r="Q12" s="297"/>
      <c r="R12" s="297"/>
      <c r="S12" s="329"/>
      <c r="U12" s="310"/>
      <c r="V12" s="223"/>
      <c r="W12" s="223"/>
      <c r="X12" s="223"/>
      <c r="Y12" s="223"/>
      <c r="Z12" s="224"/>
      <c r="AA12" s="38"/>
      <c r="AB12" s="12"/>
      <c r="AE12" s="55"/>
      <c r="AF12" s="265"/>
      <c r="AG12" s="223"/>
      <c r="AH12" s="223"/>
      <c r="AI12" s="223"/>
      <c r="AJ12" s="224"/>
      <c r="AK12" s="33"/>
      <c r="AL12" s="33"/>
      <c r="AM12" s="33"/>
      <c r="AN12" s="33"/>
      <c r="AO12" s="33"/>
      <c r="AP12" s="474"/>
      <c r="AQ12" s="474"/>
      <c r="AR12" s="474"/>
      <c r="AS12" s="33"/>
      <c r="AT12" s="33"/>
      <c r="AU12" s="217"/>
      <c r="AX12" s="424"/>
      <c r="AY12" s="348"/>
      <c r="AZ12" s="425"/>
      <c r="BA12" s="425"/>
      <c r="BB12" s="425"/>
      <c r="BC12" s="346"/>
      <c r="BD12" s="347"/>
      <c r="BE12" s="427"/>
      <c r="BG12" s="15"/>
      <c r="BH12" s="23"/>
      <c r="BI12" s="16"/>
      <c r="BL12" s="457" t="s">
        <v>165</v>
      </c>
      <c r="BM12" s="448" t="s">
        <v>874</v>
      </c>
      <c r="BO12" s="497"/>
      <c r="BP12" s="499"/>
      <c r="BS12" s="457" t="s">
        <v>165</v>
      </c>
      <c r="BT12" s="448" t="s">
        <v>874</v>
      </c>
      <c r="BV12" s="505"/>
      <c r="BW12" s="519"/>
      <c r="BX12" s="520"/>
      <c r="BY12" s="463"/>
    </row>
    <row r="13" spans="2:77" ht="15.75" customHeight="1" thickTop="1" thickBot="1">
      <c r="B13" s="284" t="e">
        <f>INDEX('Раса&amp;Родина'!H1:H5,MATCH('ЛИСТ ПЕРСОНАЖА'!D4,'Раса&amp;Родина'!A1:A5,0))</f>
        <v>#N/A</v>
      </c>
      <c r="C13" s="285"/>
      <c r="D13" s="285"/>
      <c r="E13" s="285"/>
      <c r="F13" s="285"/>
      <c r="G13" s="285"/>
      <c r="H13" s="285"/>
      <c r="I13" s="285"/>
      <c r="J13" s="286"/>
      <c r="K13" s="10"/>
      <c r="L13" s="249" t="s">
        <v>26</v>
      </c>
      <c r="M13" s="250"/>
      <c r="N13" s="251"/>
      <c r="O13" s="264" t="s">
        <v>27</v>
      </c>
      <c r="P13" s="251"/>
      <c r="Q13" s="264" t="s">
        <v>28</v>
      </c>
      <c r="R13" s="250"/>
      <c r="S13" s="258"/>
      <c r="U13" s="310"/>
      <c r="V13" s="223"/>
      <c r="W13" s="223"/>
      <c r="X13" s="223"/>
      <c r="Y13" s="223"/>
      <c r="Z13" s="224"/>
      <c r="AA13" s="45"/>
      <c r="AB13" s="34"/>
      <c r="AE13" s="55"/>
      <c r="AF13" s="265"/>
      <c r="AG13" s="223"/>
      <c r="AH13" s="223"/>
      <c r="AI13" s="223"/>
      <c r="AJ13" s="224"/>
      <c r="AK13" s="33"/>
      <c r="AL13" s="33"/>
      <c r="AM13" s="33"/>
      <c r="AN13" s="33"/>
      <c r="AO13" s="33"/>
      <c r="AP13" s="474"/>
      <c r="AQ13" s="474"/>
      <c r="AR13" s="474"/>
      <c r="AS13" s="33"/>
      <c r="AT13" s="33"/>
      <c r="AU13" s="217"/>
      <c r="AX13" s="304"/>
      <c r="AY13" s="353"/>
      <c r="AZ13" s="426"/>
      <c r="BA13" s="426"/>
      <c r="BB13" s="426"/>
      <c r="BC13" s="352"/>
      <c r="BD13" s="305"/>
      <c r="BE13" s="306"/>
      <c r="BL13" s="456"/>
      <c r="BM13" s="449"/>
      <c r="BS13" s="456"/>
      <c r="BT13" s="449"/>
    </row>
    <row r="14" spans="2:77" ht="15.75" customHeight="1" thickTop="1" thickBot="1">
      <c r="L14" s="249" t="s">
        <v>29</v>
      </c>
      <c r="M14" s="250"/>
      <c r="N14" s="251"/>
      <c r="O14" s="252"/>
      <c r="P14" s="279"/>
      <c r="Q14" s="252"/>
      <c r="R14" s="253"/>
      <c r="S14" s="254"/>
      <c r="U14" s="310"/>
      <c r="V14" s="223"/>
      <c r="W14" s="223"/>
      <c r="X14" s="223"/>
      <c r="Y14" s="223"/>
      <c r="Z14" s="224"/>
      <c r="AA14" s="46"/>
      <c r="AB14" s="34"/>
      <c r="AE14" s="55"/>
      <c r="AF14" s="265"/>
      <c r="AG14" s="223"/>
      <c r="AH14" s="223"/>
      <c r="AI14" s="223"/>
      <c r="AJ14" s="224"/>
      <c r="AK14" s="33"/>
      <c r="AL14" s="33"/>
      <c r="AM14" s="33"/>
      <c r="AN14" s="33"/>
      <c r="AO14" s="33"/>
      <c r="AP14" s="474"/>
      <c r="AQ14" s="474"/>
      <c r="AR14" s="474"/>
      <c r="AS14" s="33"/>
      <c r="AT14" s="33"/>
      <c r="AU14" s="217"/>
      <c r="AX14" s="424"/>
      <c r="AY14" s="348"/>
      <c r="AZ14" s="425"/>
      <c r="BA14" s="425"/>
      <c r="BB14" s="425"/>
      <c r="BC14" s="346"/>
      <c r="BD14" s="347"/>
      <c r="BE14" s="427"/>
      <c r="BG14" s="226" t="s">
        <v>155</v>
      </c>
      <c r="BH14" s="297"/>
      <c r="BI14" s="329"/>
      <c r="BL14" s="450" t="s">
        <v>166</v>
      </c>
      <c r="BM14" s="453" t="s">
        <v>885</v>
      </c>
      <c r="BO14" s="226" t="s">
        <v>173</v>
      </c>
      <c r="BP14" s="329"/>
      <c r="BS14" s="450" t="s">
        <v>166</v>
      </c>
      <c r="BT14" s="453" t="s">
        <v>885</v>
      </c>
      <c r="BV14" s="226" t="s">
        <v>173</v>
      </c>
      <c r="BW14" s="297"/>
      <c r="BX14" s="297"/>
      <c r="BY14" s="329"/>
    </row>
    <row r="15" spans="2:77" ht="16.5" thickTop="1" thickBot="1">
      <c r="B15" s="13" t="s">
        <v>37</v>
      </c>
      <c r="C15" s="282"/>
      <c r="D15" s="283"/>
      <c r="E15" s="290"/>
      <c r="F15" s="291"/>
      <c r="H15" s="226" t="s">
        <v>46</v>
      </c>
      <c r="I15" s="227"/>
      <c r="J15" s="11" t="e">
        <f>INDEX('Таблица физ параметров'!E3:E14,MATCH('Таблица физ параметров'!C1,'Таблица физ параметров'!A3:A14,0))</f>
        <v>#N/A</v>
      </c>
      <c r="L15" s="249" t="s">
        <v>30</v>
      </c>
      <c r="M15" s="250"/>
      <c r="N15" s="251"/>
      <c r="O15" s="252"/>
      <c r="P15" s="279"/>
      <c r="Q15" s="252"/>
      <c r="R15" s="253"/>
      <c r="S15" s="254"/>
      <c r="U15" s="249" t="s">
        <v>55</v>
      </c>
      <c r="V15" s="250"/>
      <c r="W15" s="250"/>
      <c r="X15" s="250"/>
      <c r="Y15" s="250"/>
      <c r="Z15" s="250"/>
      <c r="AA15" s="250"/>
      <c r="AB15" s="258"/>
      <c r="AE15" s="56"/>
      <c r="AF15" s="266"/>
      <c r="AG15" s="267"/>
      <c r="AH15" s="267"/>
      <c r="AI15" s="267"/>
      <c r="AJ15" s="268"/>
      <c r="AK15" s="31"/>
      <c r="AL15" s="31"/>
      <c r="AM15" s="31"/>
      <c r="AN15" s="31"/>
      <c r="AO15" s="31"/>
      <c r="AP15" s="488"/>
      <c r="AQ15" s="295"/>
      <c r="AR15" s="415"/>
      <c r="AS15" s="31"/>
      <c r="AT15" s="31"/>
      <c r="AU15" s="218"/>
      <c r="AX15" s="304"/>
      <c r="AY15" s="353"/>
      <c r="AZ15" s="426"/>
      <c r="BA15" s="426"/>
      <c r="BB15" s="426"/>
      <c r="BC15" s="352"/>
      <c r="BD15" s="305"/>
      <c r="BE15" s="306"/>
      <c r="BG15" s="6" t="s">
        <v>127</v>
      </c>
      <c r="BH15" s="58" t="s">
        <v>156</v>
      </c>
      <c r="BI15" s="9" t="s">
        <v>63</v>
      </c>
      <c r="BL15" s="451"/>
      <c r="BM15" s="454"/>
      <c r="BO15" s="2" t="s">
        <v>175</v>
      </c>
      <c r="BP15" s="9" t="s">
        <v>174</v>
      </c>
      <c r="BS15" s="451"/>
      <c r="BT15" s="454"/>
      <c r="BV15" s="52" t="s">
        <v>175</v>
      </c>
      <c r="BW15" s="264" t="s">
        <v>174</v>
      </c>
      <c r="BX15" s="250"/>
      <c r="BY15" s="258"/>
    </row>
    <row r="16" spans="2:77" ht="16.5" thickTop="1" thickBot="1">
      <c r="B16" s="14" t="s">
        <v>38</v>
      </c>
      <c r="C16" s="395"/>
      <c r="D16" s="396"/>
      <c r="E16" s="245"/>
      <c r="F16" s="246"/>
      <c r="H16" s="249" t="s">
        <v>47</v>
      </c>
      <c r="I16" s="251"/>
      <c r="J16" s="12">
        <f>C19*3</f>
        <v>0</v>
      </c>
      <c r="L16" s="249" t="s">
        <v>31</v>
      </c>
      <c r="M16" s="250"/>
      <c r="N16" s="251"/>
      <c r="O16" s="252"/>
      <c r="P16" s="279"/>
      <c r="Q16" s="252"/>
      <c r="R16" s="253"/>
      <c r="S16" s="254"/>
      <c r="U16" s="304"/>
      <c r="V16" s="305"/>
      <c r="W16" s="305"/>
      <c r="X16" s="305"/>
      <c r="Y16" s="305"/>
      <c r="Z16" s="305"/>
      <c r="AA16" s="305"/>
      <c r="AB16" s="306"/>
      <c r="AX16" s="424"/>
      <c r="AY16" s="348"/>
      <c r="AZ16" s="425"/>
      <c r="BA16" s="425"/>
      <c r="BB16" s="425"/>
      <c r="BC16" s="346"/>
      <c r="BD16" s="347"/>
      <c r="BE16" s="427"/>
      <c r="BG16" s="437"/>
      <c r="BH16" s="348"/>
      <c r="BI16" s="432"/>
      <c r="BO16" s="446">
        <v>10</v>
      </c>
      <c r="BP16" s="448"/>
      <c r="BV16" s="446">
        <v>10</v>
      </c>
      <c r="BW16" s="506"/>
      <c r="BX16" s="507"/>
      <c r="BY16" s="508"/>
    </row>
    <row r="17" spans="2:77" ht="16.5" thickTop="1" thickBot="1">
      <c r="B17" s="14" t="s">
        <v>39</v>
      </c>
      <c r="C17" s="395"/>
      <c r="D17" s="396"/>
      <c r="E17" s="245"/>
      <c r="F17" s="246"/>
      <c r="H17" s="249" t="s">
        <v>48</v>
      </c>
      <c r="I17" s="251"/>
      <c r="J17" s="12">
        <f>ROUNDDOWN(J16/5,0)</f>
        <v>0</v>
      </c>
      <c r="L17" s="249" t="s">
        <v>32</v>
      </c>
      <c r="M17" s="250"/>
      <c r="N17" s="251"/>
      <c r="O17" s="252"/>
      <c r="P17" s="279"/>
      <c r="Q17" s="252"/>
      <c r="R17" s="253"/>
      <c r="S17" s="254"/>
      <c r="U17" s="294"/>
      <c r="V17" s="295"/>
      <c r="W17" s="295"/>
      <c r="X17" s="295"/>
      <c r="Y17" s="295"/>
      <c r="Z17" s="295"/>
      <c r="AA17" s="295"/>
      <c r="AB17" s="296"/>
      <c r="AE17" s="226" t="s">
        <v>144</v>
      </c>
      <c r="AF17" s="297"/>
      <c r="AG17" s="297"/>
      <c r="AH17" s="297"/>
      <c r="AI17" s="297"/>
      <c r="AJ17" s="297"/>
      <c r="AK17" s="297"/>
      <c r="AL17" s="297"/>
      <c r="AM17" s="297"/>
      <c r="AN17" s="329"/>
      <c r="AP17" s="226" t="s">
        <v>146</v>
      </c>
      <c r="AQ17" s="297"/>
      <c r="AR17" s="297"/>
      <c r="AS17" s="297"/>
      <c r="AT17" s="297"/>
      <c r="AU17" s="329"/>
      <c r="AX17" s="304"/>
      <c r="AY17" s="353"/>
      <c r="AZ17" s="426"/>
      <c r="BA17" s="426"/>
      <c r="BB17" s="426"/>
      <c r="BC17" s="352"/>
      <c r="BD17" s="305"/>
      <c r="BE17" s="306"/>
      <c r="BG17" s="435"/>
      <c r="BH17" s="351"/>
      <c r="BI17" s="433"/>
      <c r="BL17" s="226" t="s">
        <v>167</v>
      </c>
      <c r="BM17" s="329"/>
      <c r="BO17" s="447"/>
      <c r="BP17" s="449"/>
      <c r="BS17" s="226" t="s">
        <v>182</v>
      </c>
      <c r="BT17" s="329"/>
      <c r="BV17" s="447"/>
      <c r="BW17" s="509"/>
      <c r="BX17" s="510"/>
      <c r="BY17" s="511"/>
    </row>
    <row r="18" spans="2:77" ht="16.5" thickTop="1" thickBot="1">
      <c r="B18" s="14" t="s">
        <v>40</v>
      </c>
      <c r="C18" s="395"/>
      <c r="D18" s="396"/>
      <c r="E18" s="245"/>
      <c r="F18" s="246"/>
      <c r="H18" s="249" t="s">
        <v>50</v>
      </c>
      <c r="I18" s="251"/>
      <c r="J18" s="12">
        <f>C18*10+IF(D4="Краснолюд",25,0)</f>
        <v>0</v>
      </c>
      <c r="L18" s="249" t="s">
        <v>33</v>
      </c>
      <c r="M18" s="250"/>
      <c r="N18" s="251"/>
      <c r="O18" s="252"/>
      <c r="P18" s="279"/>
      <c r="Q18" s="252"/>
      <c r="R18" s="253"/>
      <c r="S18" s="254"/>
      <c r="AE18" s="49" t="s">
        <v>5</v>
      </c>
      <c r="AF18" s="264" t="s">
        <v>127</v>
      </c>
      <c r="AG18" s="250"/>
      <c r="AH18" s="251"/>
      <c r="AI18" s="264" t="s">
        <v>145</v>
      </c>
      <c r="AJ18" s="250"/>
      <c r="AK18" s="250"/>
      <c r="AL18" s="251"/>
      <c r="AM18" s="264" t="s">
        <v>143</v>
      </c>
      <c r="AN18" s="258"/>
      <c r="AP18" s="249" t="s">
        <v>16</v>
      </c>
      <c r="AQ18" s="250"/>
      <c r="AR18" s="250"/>
      <c r="AS18" s="251"/>
      <c r="AT18" s="50" t="s">
        <v>5</v>
      </c>
      <c r="AU18" s="25" t="s">
        <v>143</v>
      </c>
      <c r="AX18" s="424"/>
      <c r="AY18" s="348"/>
      <c r="AZ18" s="425"/>
      <c r="BA18" s="425"/>
      <c r="BB18" s="425"/>
      <c r="BC18" s="346"/>
      <c r="BD18" s="347"/>
      <c r="BE18" s="427"/>
      <c r="BG18" s="435"/>
      <c r="BH18" s="351"/>
      <c r="BI18" s="433"/>
      <c r="BL18" s="458"/>
      <c r="BM18" s="459"/>
      <c r="BO18" s="446">
        <v>20</v>
      </c>
      <c r="BP18" s="448"/>
      <c r="BS18" s="458"/>
      <c r="BT18" s="459"/>
      <c r="BV18" s="446">
        <v>20</v>
      </c>
      <c r="BW18" s="506"/>
      <c r="BX18" s="507"/>
      <c r="BY18" s="508"/>
    </row>
    <row r="19" spans="2:77" ht="15" customHeight="1" thickTop="1" thickBot="1">
      <c r="B19" s="14" t="s">
        <v>41</v>
      </c>
      <c r="C19" s="395"/>
      <c r="D19" s="396"/>
      <c r="E19" s="245"/>
      <c r="F19" s="246"/>
      <c r="H19" s="255" t="s">
        <v>49</v>
      </c>
      <c r="I19" s="256"/>
      <c r="J19" s="51" t="e">
        <f>INDEX('Таблица физ параметров'!D3:D14,MATCH('Таблица физ параметров'!C1,'Таблица физ параметров'!A3:A14,0))</f>
        <v>#N/A</v>
      </c>
      <c r="L19" s="249" t="s">
        <v>34</v>
      </c>
      <c r="M19" s="250"/>
      <c r="N19" s="251"/>
      <c r="O19" s="252"/>
      <c r="P19" s="279"/>
      <c r="Q19" s="252"/>
      <c r="R19" s="253"/>
      <c r="S19" s="254"/>
      <c r="U19" s="226" t="s">
        <v>58</v>
      </c>
      <c r="V19" s="297"/>
      <c r="W19" s="297"/>
      <c r="X19" s="227"/>
      <c r="Y19" s="492" t="str">
        <f>AF10</f>
        <v xml:space="preserve"> </v>
      </c>
      <c r="Z19" s="492"/>
      <c r="AA19" s="492"/>
      <c r="AB19" s="493"/>
      <c r="AE19" s="55"/>
      <c r="AF19" s="223"/>
      <c r="AG19" s="223"/>
      <c r="AH19" s="224"/>
      <c r="AI19" s="252"/>
      <c r="AJ19" s="253"/>
      <c r="AK19" s="253"/>
      <c r="AL19" s="279"/>
      <c r="AM19" s="413"/>
      <c r="AN19" s="414"/>
      <c r="AP19" s="310"/>
      <c r="AQ19" s="223"/>
      <c r="AR19" s="223"/>
      <c r="AS19" s="224"/>
      <c r="AT19" s="47"/>
      <c r="AU19" s="217"/>
      <c r="AX19" s="304"/>
      <c r="AY19" s="353"/>
      <c r="AZ19" s="426"/>
      <c r="BA19" s="426"/>
      <c r="BB19" s="426"/>
      <c r="BC19" s="352"/>
      <c r="BD19" s="305"/>
      <c r="BE19" s="306"/>
      <c r="BG19" s="436"/>
      <c r="BH19" s="353"/>
      <c r="BI19" s="434"/>
      <c r="BL19" s="460"/>
      <c r="BM19" s="461"/>
      <c r="BO19" s="447"/>
      <c r="BP19" s="449"/>
      <c r="BS19" s="460"/>
      <c r="BT19" s="461"/>
      <c r="BV19" s="447"/>
      <c r="BW19" s="509"/>
      <c r="BX19" s="510"/>
      <c r="BY19" s="511"/>
    </row>
    <row r="20" spans="2:77" ht="16.5" thickTop="1" thickBot="1">
      <c r="B20" s="14" t="s">
        <v>42</v>
      </c>
      <c r="C20" s="395"/>
      <c r="D20" s="396"/>
      <c r="E20" s="245"/>
      <c r="F20" s="246"/>
      <c r="H20" s="257"/>
      <c r="I20" s="257"/>
      <c r="J20" s="57"/>
      <c r="L20" s="249" t="s">
        <v>53</v>
      </c>
      <c r="M20" s="250"/>
      <c r="N20" s="250"/>
      <c r="O20" s="250"/>
      <c r="P20" s="250"/>
      <c r="Q20" s="250"/>
      <c r="R20" s="250"/>
      <c r="S20" s="258"/>
      <c r="U20" s="249" t="s">
        <v>59</v>
      </c>
      <c r="V20" s="250"/>
      <c r="W20" s="250"/>
      <c r="X20" s="251"/>
      <c r="Y20" s="489" t="str">
        <f>AK10</f>
        <v xml:space="preserve"> </v>
      </c>
      <c r="Z20" s="490"/>
      <c r="AA20" s="490"/>
      <c r="AB20" s="491"/>
      <c r="AE20" s="55"/>
      <c r="AF20" s="223"/>
      <c r="AG20" s="223"/>
      <c r="AH20" s="224"/>
      <c r="AI20" s="252"/>
      <c r="AJ20" s="253"/>
      <c r="AK20" s="253"/>
      <c r="AL20" s="279"/>
      <c r="AM20" s="413"/>
      <c r="AN20" s="414"/>
      <c r="AP20" s="310"/>
      <c r="AQ20" s="223"/>
      <c r="AR20" s="223"/>
      <c r="AS20" s="224"/>
      <c r="AT20" s="47"/>
      <c r="AU20" s="217"/>
      <c r="AX20" s="424"/>
      <c r="AY20" s="348"/>
      <c r="AZ20" s="425"/>
      <c r="BA20" s="425"/>
      <c r="BB20" s="425"/>
      <c r="BC20" s="346"/>
      <c r="BD20" s="347"/>
      <c r="BE20" s="427"/>
      <c r="BG20" s="435"/>
      <c r="BH20" s="425"/>
      <c r="BI20" s="432"/>
      <c r="BL20" s="458"/>
      <c r="BM20" s="459"/>
      <c r="BO20" s="446">
        <v>30</v>
      </c>
      <c r="BP20" s="448"/>
      <c r="BS20" s="458"/>
      <c r="BT20" s="459"/>
      <c r="BV20" s="446">
        <v>30</v>
      </c>
      <c r="BW20" s="506"/>
      <c r="BX20" s="507"/>
      <c r="BY20" s="508"/>
    </row>
    <row r="21" spans="2:77" ht="15.75" thickTop="1">
      <c r="B21" s="14" t="s">
        <v>43</v>
      </c>
      <c r="C21" s="395"/>
      <c r="D21" s="396"/>
      <c r="E21" s="245"/>
      <c r="F21" s="246"/>
      <c r="H21" s="277" t="s">
        <v>0</v>
      </c>
      <c r="I21" s="278"/>
      <c r="J21" s="48"/>
      <c r="L21" s="259" t="s">
        <v>896</v>
      </c>
      <c r="M21" s="260"/>
      <c r="N21" s="260"/>
      <c r="O21" s="260"/>
      <c r="P21" s="260"/>
      <c r="Q21" s="260"/>
      <c r="R21" s="260"/>
      <c r="S21" s="261"/>
      <c r="U21" s="249" t="s">
        <v>60</v>
      </c>
      <c r="V21" s="250"/>
      <c r="W21" s="250"/>
      <c r="X21" s="251"/>
      <c r="Y21" s="489" t="str">
        <f>AL10</f>
        <v xml:space="preserve"> </v>
      </c>
      <c r="Z21" s="490"/>
      <c r="AA21" s="490"/>
      <c r="AB21" s="491"/>
      <c r="AE21" s="55"/>
      <c r="AF21" s="223"/>
      <c r="AG21" s="223"/>
      <c r="AH21" s="224"/>
      <c r="AI21" s="252"/>
      <c r="AJ21" s="253"/>
      <c r="AK21" s="253"/>
      <c r="AL21" s="279"/>
      <c r="AM21" s="413"/>
      <c r="AN21" s="414"/>
      <c r="AP21" s="310"/>
      <c r="AQ21" s="223"/>
      <c r="AR21" s="223"/>
      <c r="AS21" s="224"/>
      <c r="AT21" s="47"/>
      <c r="AU21" s="217"/>
      <c r="AX21" s="304"/>
      <c r="AY21" s="353"/>
      <c r="AZ21" s="426"/>
      <c r="BA21" s="426"/>
      <c r="BB21" s="426"/>
      <c r="BC21" s="352"/>
      <c r="BD21" s="305"/>
      <c r="BE21" s="306"/>
      <c r="BG21" s="435"/>
      <c r="BH21" s="431"/>
      <c r="BI21" s="433"/>
      <c r="BL21" s="460"/>
      <c r="BM21" s="461"/>
      <c r="BO21" s="447"/>
      <c r="BP21" s="449"/>
      <c r="BS21" s="460"/>
      <c r="BT21" s="461"/>
      <c r="BV21" s="447"/>
      <c r="BW21" s="509"/>
      <c r="BX21" s="510"/>
      <c r="BY21" s="511"/>
    </row>
    <row r="22" spans="2:77">
      <c r="B22" s="2" t="s">
        <v>44</v>
      </c>
      <c r="C22" s="395"/>
      <c r="D22" s="396"/>
      <c r="E22" s="245"/>
      <c r="F22" s="246"/>
      <c r="H22" s="273" t="s">
        <v>52</v>
      </c>
      <c r="I22" s="274"/>
      <c r="J22" s="4" t="e">
        <f>INDEX('Бой голыми руками'!B2:B14,MATCH('ЛИСТ ПЕРСОНАЖА'!C18,'Бой голыми руками'!A2:A14,0))</f>
        <v>#N/A</v>
      </c>
      <c r="L22" s="259" t="s">
        <v>896</v>
      </c>
      <c r="M22" s="260"/>
      <c r="N22" s="260"/>
      <c r="O22" s="260"/>
      <c r="P22" s="260"/>
      <c r="Q22" s="260"/>
      <c r="R22" s="260"/>
      <c r="S22" s="261"/>
      <c r="U22" s="249" t="s">
        <v>61</v>
      </c>
      <c r="V22" s="250"/>
      <c r="W22" s="250"/>
      <c r="X22" s="251"/>
      <c r="Y22" s="489" t="str">
        <f>AM10</f>
        <v xml:space="preserve"> </v>
      </c>
      <c r="Z22" s="494"/>
      <c r="AA22" s="489"/>
      <c r="AB22" s="491"/>
      <c r="AE22" s="55"/>
      <c r="AF22" s="223"/>
      <c r="AG22" s="223"/>
      <c r="AH22" s="224"/>
      <c r="AI22" s="252"/>
      <c r="AJ22" s="253"/>
      <c r="AK22" s="253"/>
      <c r="AL22" s="279"/>
      <c r="AM22" s="413"/>
      <c r="AN22" s="414"/>
      <c r="AP22" s="310"/>
      <c r="AQ22" s="223"/>
      <c r="AR22" s="223"/>
      <c r="AS22" s="224"/>
      <c r="AT22" s="47"/>
      <c r="AU22" s="217"/>
      <c r="AX22" s="424"/>
      <c r="AY22" s="348"/>
      <c r="AZ22" s="425"/>
      <c r="BA22" s="425"/>
      <c r="BB22" s="425"/>
      <c r="BC22" s="346"/>
      <c r="BD22" s="347"/>
      <c r="BE22" s="427"/>
      <c r="BG22" s="435"/>
      <c r="BH22" s="431"/>
      <c r="BI22" s="433"/>
      <c r="BL22" s="458"/>
      <c r="BM22" s="459"/>
      <c r="BO22" s="446">
        <v>40</v>
      </c>
      <c r="BP22" s="448"/>
      <c r="BS22" s="458"/>
      <c r="BT22" s="459"/>
      <c r="BV22" s="446">
        <v>40</v>
      </c>
      <c r="BW22" s="506"/>
      <c r="BX22" s="507"/>
      <c r="BY22" s="508"/>
    </row>
    <row r="23" spans="2:77" ht="15.75" thickBot="1">
      <c r="B23" s="153" t="s">
        <v>45</v>
      </c>
      <c r="C23" s="292"/>
      <c r="D23" s="293"/>
      <c r="E23" s="247"/>
      <c r="F23" s="248"/>
      <c r="H23" s="275" t="s">
        <v>51</v>
      </c>
      <c r="I23" s="276"/>
      <c r="J23" s="5" t="e">
        <f>INDEX('Бой голыми руками'!C2:C14,MATCH('ЛИСТ ПЕРСОНАЖА'!C18,'Бой голыми руками'!A2:A14,0))</f>
        <v>#N/A</v>
      </c>
      <c r="L23" s="270" t="s">
        <v>896</v>
      </c>
      <c r="M23" s="271"/>
      <c r="N23" s="271"/>
      <c r="O23" s="271"/>
      <c r="P23" s="271"/>
      <c r="Q23" s="271"/>
      <c r="R23" s="271"/>
      <c r="S23" s="272"/>
      <c r="U23" s="249" t="s">
        <v>62</v>
      </c>
      <c r="V23" s="250"/>
      <c r="W23" s="250"/>
      <c r="X23" s="251"/>
      <c r="Y23" s="489" t="str">
        <f>AO10</f>
        <v xml:space="preserve"> </v>
      </c>
      <c r="Z23" s="490"/>
      <c r="AA23" s="490"/>
      <c r="AB23" s="491"/>
      <c r="AE23" s="55"/>
      <c r="AF23" s="223"/>
      <c r="AG23" s="223"/>
      <c r="AH23" s="224"/>
      <c r="AI23" s="252"/>
      <c r="AJ23" s="253"/>
      <c r="AK23" s="253"/>
      <c r="AL23" s="279"/>
      <c r="AM23" s="413"/>
      <c r="AN23" s="414"/>
      <c r="AO23"/>
      <c r="AP23" s="310"/>
      <c r="AQ23" s="223"/>
      <c r="AR23" s="223"/>
      <c r="AS23" s="224"/>
      <c r="AT23" s="47"/>
      <c r="AU23" s="217"/>
      <c r="AX23" s="304"/>
      <c r="AY23" s="353"/>
      <c r="AZ23" s="426"/>
      <c r="BA23" s="426"/>
      <c r="BB23" s="426"/>
      <c r="BC23" s="352"/>
      <c r="BD23" s="305"/>
      <c r="BE23" s="306"/>
      <c r="BG23" s="436"/>
      <c r="BH23" s="426"/>
      <c r="BI23" s="434"/>
      <c r="BL23" s="460"/>
      <c r="BM23" s="461"/>
      <c r="BO23" s="447"/>
      <c r="BP23" s="449"/>
      <c r="BS23" s="460"/>
      <c r="BT23" s="461"/>
      <c r="BV23" s="447"/>
      <c r="BW23" s="509"/>
      <c r="BX23" s="510"/>
      <c r="BY23" s="511"/>
    </row>
    <row r="24" spans="2:77" ht="16.5" thickTop="1" thickBot="1">
      <c r="U24" s="249" t="s">
        <v>63</v>
      </c>
      <c r="V24" s="250"/>
      <c r="W24" s="250"/>
      <c r="X24" s="251"/>
      <c r="Y24" s="489" t="str">
        <f>AP10</f>
        <v xml:space="preserve"> </v>
      </c>
      <c r="Z24" s="490"/>
      <c r="AA24" s="490"/>
      <c r="AB24" s="491"/>
      <c r="AE24" s="55"/>
      <c r="AF24" s="223"/>
      <c r="AG24" s="223"/>
      <c r="AH24" s="224"/>
      <c r="AI24" s="252"/>
      <c r="AJ24" s="253"/>
      <c r="AK24" s="253"/>
      <c r="AL24" s="279"/>
      <c r="AM24" s="413"/>
      <c r="AN24" s="414"/>
      <c r="AP24" s="310"/>
      <c r="AQ24" s="223"/>
      <c r="AR24" s="223"/>
      <c r="AS24" s="224"/>
      <c r="AT24" s="47"/>
      <c r="AU24" s="217"/>
      <c r="AX24" s="424"/>
      <c r="AY24" s="348"/>
      <c r="AZ24" s="425"/>
      <c r="BA24" s="425"/>
      <c r="BB24" s="425"/>
      <c r="BC24" s="346"/>
      <c r="BD24" s="347"/>
      <c r="BE24" s="427"/>
      <c r="BG24" s="437"/>
      <c r="BH24" s="425"/>
      <c r="BI24" s="432"/>
      <c r="BL24" s="458"/>
      <c r="BM24" s="459"/>
      <c r="BO24" s="446">
        <v>50</v>
      </c>
      <c r="BP24" s="448"/>
      <c r="BS24" s="458"/>
      <c r="BT24" s="459"/>
      <c r="BV24" s="446">
        <v>50</v>
      </c>
      <c r="BW24" s="506"/>
      <c r="BX24" s="507"/>
      <c r="BY24" s="508"/>
    </row>
    <row r="25" spans="2:77" ht="15.75" thickTop="1">
      <c r="B25" s="360" t="s">
        <v>65</v>
      </c>
      <c r="C25" s="361"/>
      <c r="D25" s="361"/>
      <c r="E25" s="361"/>
      <c r="F25" s="361"/>
      <c r="G25" s="362"/>
      <c r="H25" s="197"/>
      <c r="I25" s="363" t="s">
        <v>73</v>
      </c>
      <c r="J25" s="365"/>
      <c r="K25" s="365"/>
      <c r="L25" s="365"/>
      <c r="M25" s="366"/>
      <c r="N25" s="198"/>
      <c r="O25" s="360" t="s">
        <v>95</v>
      </c>
      <c r="P25" s="361"/>
      <c r="Q25" s="361"/>
      <c r="R25" s="361"/>
      <c r="S25" s="362"/>
      <c r="T25" s="198"/>
      <c r="U25" s="239" t="s">
        <v>64</v>
      </c>
      <c r="V25" s="240"/>
      <c r="W25" s="240"/>
      <c r="X25" s="241"/>
      <c r="Y25" s="242" t="s">
        <v>896</v>
      </c>
      <c r="Z25" s="243"/>
      <c r="AA25" s="243"/>
      <c r="AB25" s="244"/>
      <c r="AE25" s="55"/>
      <c r="AF25" s="223"/>
      <c r="AG25" s="223"/>
      <c r="AH25" s="224"/>
      <c r="AI25" s="252"/>
      <c r="AJ25" s="253"/>
      <c r="AK25" s="253"/>
      <c r="AL25" s="279"/>
      <c r="AM25" s="413"/>
      <c r="AN25" s="414"/>
      <c r="AP25" s="310"/>
      <c r="AQ25" s="223"/>
      <c r="AR25" s="223"/>
      <c r="AS25" s="224"/>
      <c r="AT25" s="47"/>
      <c r="AU25" s="217"/>
      <c r="AX25" s="304"/>
      <c r="AY25" s="353"/>
      <c r="AZ25" s="426"/>
      <c r="BA25" s="426"/>
      <c r="BB25" s="426"/>
      <c r="BC25" s="352"/>
      <c r="BD25" s="305"/>
      <c r="BE25" s="306"/>
      <c r="BG25" s="435"/>
      <c r="BH25" s="431"/>
      <c r="BI25" s="433"/>
      <c r="BL25" s="460"/>
      <c r="BM25" s="461"/>
      <c r="BO25" s="447"/>
      <c r="BP25" s="449"/>
      <c r="BS25" s="460"/>
      <c r="BT25" s="461"/>
      <c r="BV25" s="447"/>
      <c r="BW25" s="509"/>
      <c r="BX25" s="510"/>
      <c r="BY25" s="511"/>
    </row>
    <row r="26" spans="2:77" ht="15.75" thickBot="1">
      <c r="B26" s="354" t="s">
        <v>66</v>
      </c>
      <c r="C26" s="356"/>
      <c r="D26" s="383"/>
      <c r="E26" s="383"/>
      <c r="F26" s="407"/>
      <c r="G26" s="408"/>
      <c r="H26" s="199"/>
      <c r="I26" s="400" t="s">
        <v>74</v>
      </c>
      <c r="J26" s="401"/>
      <c r="K26" s="401"/>
      <c r="L26" s="201"/>
      <c r="M26" s="202"/>
      <c r="N26" s="198"/>
      <c r="O26" s="354" t="s">
        <v>96</v>
      </c>
      <c r="P26" s="355"/>
      <c r="Q26" s="356"/>
      <c r="R26" s="200"/>
      <c r="S26" s="202"/>
      <c r="T26" s="198"/>
      <c r="U26" s="495"/>
      <c r="V26" s="392"/>
      <c r="W26" s="392"/>
      <c r="X26" s="392"/>
      <c r="Y26" s="392"/>
      <c r="Z26" s="392"/>
      <c r="AA26" s="392"/>
      <c r="AB26" s="393"/>
      <c r="AE26" s="55"/>
      <c r="AF26" s="223"/>
      <c r="AG26" s="223"/>
      <c r="AH26" s="224"/>
      <c r="AI26" s="252"/>
      <c r="AJ26" s="253"/>
      <c r="AK26" s="253"/>
      <c r="AL26" s="279"/>
      <c r="AM26" s="413"/>
      <c r="AN26" s="414"/>
      <c r="AP26" s="310"/>
      <c r="AQ26" s="223"/>
      <c r="AR26" s="223"/>
      <c r="AS26" s="224"/>
      <c r="AT26" s="47"/>
      <c r="AU26" s="217"/>
      <c r="AX26" s="424"/>
      <c r="AY26" s="348"/>
      <c r="AZ26" s="425"/>
      <c r="BA26" s="425"/>
      <c r="BB26" s="425"/>
      <c r="BC26" s="346"/>
      <c r="BD26" s="347"/>
      <c r="BE26" s="427"/>
      <c r="BG26" s="435"/>
      <c r="BH26" s="431"/>
      <c r="BI26" s="433"/>
      <c r="BL26" s="458"/>
      <c r="BM26" s="459"/>
      <c r="BO26" s="446">
        <v>60</v>
      </c>
      <c r="BP26" s="448"/>
      <c r="BS26" s="458"/>
      <c r="BT26" s="459"/>
      <c r="BV26" s="446">
        <v>60</v>
      </c>
      <c r="BW26" s="506"/>
      <c r="BX26" s="507"/>
      <c r="BY26" s="508"/>
    </row>
    <row r="27" spans="2:77" ht="16.5" thickTop="1" thickBot="1">
      <c r="B27" s="354" t="s">
        <v>67</v>
      </c>
      <c r="C27" s="356"/>
      <c r="D27" s="383"/>
      <c r="E27" s="383"/>
      <c r="F27" s="375"/>
      <c r="G27" s="376"/>
      <c r="H27" s="203"/>
      <c r="I27" s="400" t="s">
        <v>75</v>
      </c>
      <c r="J27" s="401"/>
      <c r="K27" s="401"/>
      <c r="L27" s="201"/>
      <c r="M27" s="202"/>
      <c r="N27" s="198"/>
      <c r="O27" s="371" t="s">
        <v>97</v>
      </c>
      <c r="P27" s="372"/>
      <c r="Q27" s="373"/>
      <c r="R27" s="200"/>
      <c r="S27" s="202"/>
      <c r="T27" s="198"/>
      <c r="U27" s="198"/>
      <c r="V27" s="198"/>
      <c r="W27" s="198"/>
      <c r="X27" s="198"/>
      <c r="Y27" s="198"/>
      <c r="Z27" s="198"/>
      <c r="AA27" s="198"/>
      <c r="AB27" s="198"/>
      <c r="AE27" s="55"/>
      <c r="AF27" s="223"/>
      <c r="AG27" s="223"/>
      <c r="AH27" s="224"/>
      <c r="AI27" s="252"/>
      <c r="AJ27" s="253"/>
      <c r="AK27" s="253"/>
      <c r="AL27" s="279"/>
      <c r="AM27" s="413"/>
      <c r="AN27" s="414"/>
      <c r="AP27" s="310"/>
      <c r="AQ27" s="223"/>
      <c r="AR27" s="223"/>
      <c r="AS27" s="224"/>
      <c r="AT27" s="47"/>
      <c r="AU27" s="217"/>
      <c r="AX27" s="304"/>
      <c r="AY27" s="353"/>
      <c r="AZ27" s="426"/>
      <c r="BA27" s="426"/>
      <c r="BB27" s="426"/>
      <c r="BC27" s="352"/>
      <c r="BD27" s="305"/>
      <c r="BE27" s="306"/>
      <c r="BG27" s="436"/>
      <c r="BH27" s="426"/>
      <c r="BI27" s="434"/>
      <c r="BL27" s="460"/>
      <c r="BM27" s="461"/>
      <c r="BO27" s="447"/>
      <c r="BP27" s="449"/>
      <c r="BS27" s="460"/>
      <c r="BT27" s="461"/>
      <c r="BV27" s="447"/>
      <c r="BW27" s="509"/>
      <c r="BX27" s="510"/>
      <c r="BY27" s="511"/>
    </row>
    <row r="28" spans="2:77" ht="15.75" thickTop="1">
      <c r="B28" s="354" t="s">
        <v>68</v>
      </c>
      <c r="C28" s="356"/>
      <c r="D28" s="383"/>
      <c r="E28" s="383"/>
      <c r="F28" s="375"/>
      <c r="G28" s="376"/>
      <c r="H28" s="203"/>
      <c r="I28" s="402" t="s">
        <v>76</v>
      </c>
      <c r="J28" s="403"/>
      <c r="K28" s="403"/>
      <c r="L28" s="201"/>
      <c r="M28" s="202"/>
      <c r="N28" s="198"/>
      <c r="O28" s="354" t="s">
        <v>98</v>
      </c>
      <c r="P28" s="355"/>
      <c r="Q28" s="356"/>
      <c r="R28" s="200"/>
      <c r="S28" s="202"/>
      <c r="T28" s="198"/>
      <c r="U28" s="360" t="s">
        <v>58</v>
      </c>
      <c r="V28" s="361"/>
      <c r="W28" s="361"/>
      <c r="X28" s="364"/>
      <c r="Y28" s="492" t="str">
        <f>AF11</f>
        <v xml:space="preserve"> </v>
      </c>
      <c r="Z28" s="492"/>
      <c r="AA28" s="492"/>
      <c r="AB28" s="493"/>
      <c r="AE28" s="55"/>
      <c r="AF28" s="223"/>
      <c r="AG28" s="223"/>
      <c r="AH28" s="224"/>
      <c r="AI28" s="252"/>
      <c r="AJ28" s="253"/>
      <c r="AK28" s="253"/>
      <c r="AL28" s="279"/>
      <c r="AM28" s="413"/>
      <c r="AN28" s="414"/>
      <c r="AP28" s="310"/>
      <c r="AQ28" s="223"/>
      <c r="AR28" s="223"/>
      <c r="AS28" s="224"/>
      <c r="AT28" s="47"/>
      <c r="AU28" s="217"/>
      <c r="AX28" s="424"/>
      <c r="AY28" s="348"/>
      <c r="AZ28" s="425"/>
      <c r="BA28" s="425"/>
      <c r="BB28" s="425"/>
      <c r="BC28" s="346"/>
      <c r="BD28" s="347"/>
      <c r="BE28" s="427"/>
      <c r="BG28" s="437"/>
      <c r="BH28" s="425"/>
      <c r="BI28" s="432"/>
      <c r="BL28" s="458"/>
      <c r="BM28" s="459"/>
      <c r="BO28" s="446">
        <v>70</v>
      </c>
      <c r="BP28" s="448"/>
      <c r="BS28" s="458"/>
      <c r="BT28" s="459"/>
      <c r="BV28" s="446">
        <v>70</v>
      </c>
      <c r="BW28" s="506"/>
      <c r="BX28" s="507"/>
      <c r="BY28" s="508"/>
    </row>
    <row r="29" spans="2:77">
      <c r="B29" s="354" t="s">
        <v>69</v>
      </c>
      <c r="C29" s="356"/>
      <c r="D29" s="383"/>
      <c r="E29" s="383"/>
      <c r="F29" s="375"/>
      <c r="G29" s="376"/>
      <c r="H29" s="203"/>
      <c r="I29" s="400" t="s">
        <v>77</v>
      </c>
      <c r="J29" s="401"/>
      <c r="K29" s="401"/>
      <c r="L29" s="201"/>
      <c r="M29" s="202"/>
      <c r="N29" s="198"/>
      <c r="O29" s="354" t="s">
        <v>99</v>
      </c>
      <c r="P29" s="355"/>
      <c r="Q29" s="356"/>
      <c r="R29" s="200"/>
      <c r="S29" s="202"/>
      <c r="T29" s="198"/>
      <c r="U29" s="239" t="s">
        <v>59</v>
      </c>
      <c r="V29" s="240"/>
      <c r="W29" s="240"/>
      <c r="X29" s="241"/>
      <c r="Y29" s="489" t="str">
        <f>AK11</f>
        <v xml:space="preserve"> </v>
      </c>
      <c r="Z29" s="490"/>
      <c r="AA29" s="490"/>
      <c r="AB29" s="491"/>
      <c r="AE29" s="55"/>
      <c r="AF29" s="223"/>
      <c r="AG29" s="223"/>
      <c r="AH29" s="224"/>
      <c r="AI29" s="252"/>
      <c r="AJ29" s="253"/>
      <c r="AK29" s="253"/>
      <c r="AL29" s="279"/>
      <c r="AM29" s="413"/>
      <c r="AN29" s="414"/>
      <c r="AP29" s="310"/>
      <c r="AQ29" s="223"/>
      <c r="AR29" s="223"/>
      <c r="AS29" s="224"/>
      <c r="AT29" s="47"/>
      <c r="AU29" s="217"/>
      <c r="AX29" s="304"/>
      <c r="AY29" s="353"/>
      <c r="AZ29" s="426"/>
      <c r="BA29" s="426"/>
      <c r="BB29" s="426"/>
      <c r="BC29" s="352"/>
      <c r="BD29" s="305"/>
      <c r="BE29" s="306"/>
      <c r="BG29" s="435"/>
      <c r="BH29" s="431"/>
      <c r="BI29" s="433"/>
      <c r="BL29" s="460"/>
      <c r="BM29" s="461"/>
      <c r="BO29" s="447"/>
      <c r="BP29" s="449"/>
      <c r="BS29" s="460"/>
      <c r="BT29" s="461"/>
      <c r="BV29" s="447"/>
      <c r="BW29" s="509"/>
      <c r="BX29" s="510"/>
      <c r="BY29" s="511"/>
    </row>
    <row r="30" spans="2:77" ht="15.75" thickBot="1">
      <c r="B30" s="354" t="s">
        <v>70</v>
      </c>
      <c r="C30" s="356"/>
      <c r="D30" s="383"/>
      <c r="E30" s="383"/>
      <c r="F30" s="375"/>
      <c r="G30" s="376"/>
      <c r="H30" s="203"/>
      <c r="I30" s="409" t="s">
        <v>78</v>
      </c>
      <c r="J30" s="410"/>
      <c r="K30" s="410"/>
      <c r="L30" s="205"/>
      <c r="M30" s="206"/>
      <c r="N30" s="198"/>
      <c r="O30" s="354" t="s">
        <v>100</v>
      </c>
      <c r="P30" s="355"/>
      <c r="Q30" s="356"/>
      <c r="R30" s="200"/>
      <c r="S30" s="202"/>
      <c r="T30" s="198"/>
      <c r="U30" s="239" t="s">
        <v>60</v>
      </c>
      <c r="V30" s="240"/>
      <c r="W30" s="240"/>
      <c r="X30" s="241"/>
      <c r="Y30" s="489" t="str">
        <f>AL11</f>
        <v xml:space="preserve"> </v>
      </c>
      <c r="Z30" s="490"/>
      <c r="AA30" s="490"/>
      <c r="AB30" s="491"/>
      <c r="AE30" s="55"/>
      <c r="AF30" s="223"/>
      <c r="AG30" s="223"/>
      <c r="AH30" s="224"/>
      <c r="AI30" s="252"/>
      <c r="AJ30" s="253"/>
      <c r="AK30" s="253"/>
      <c r="AL30" s="279"/>
      <c r="AM30" s="413"/>
      <c r="AN30" s="414"/>
      <c r="AP30" s="310"/>
      <c r="AQ30" s="223"/>
      <c r="AR30" s="223"/>
      <c r="AS30" s="224"/>
      <c r="AT30" s="47"/>
      <c r="AU30" s="217"/>
      <c r="AX30" s="424"/>
      <c r="AY30" s="348"/>
      <c r="AZ30" s="425"/>
      <c r="BA30" s="425"/>
      <c r="BB30" s="425"/>
      <c r="BC30" s="346"/>
      <c r="BD30" s="347"/>
      <c r="BE30" s="427"/>
      <c r="BG30" s="435"/>
      <c r="BH30" s="431"/>
      <c r="BI30" s="433"/>
      <c r="BL30" s="458"/>
      <c r="BM30" s="459"/>
      <c r="BO30" s="446">
        <v>80</v>
      </c>
      <c r="BP30" s="448"/>
      <c r="BS30" s="458"/>
      <c r="BT30" s="459"/>
      <c r="BV30" s="446">
        <v>80</v>
      </c>
      <c r="BW30" s="506"/>
      <c r="BX30" s="507"/>
      <c r="BY30" s="508"/>
    </row>
    <row r="31" spans="2:77" ht="16.5" thickTop="1" thickBot="1">
      <c r="B31" s="354" t="s">
        <v>71</v>
      </c>
      <c r="C31" s="356"/>
      <c r="D31" s="383"/>
      <c r="E31" s="383"/>
      <c r="F31" s="375"/>
      <c r="G31" s="376"/>
      <c r="H31" s="203"/>
      <c r="I31" s="204"/>
      <c r="J31" s="198"/>
      <c r="K31" s="198"/>
      <c r="L31" s="198"/>
      <c r="M31" s="198"/>
      <c r="N31" s="198"/>
      <c r="O31" s="371" t="s">
        <v>101</v>
      </c>
      <c r="P31" s="372"/>
      <c r="Q31" s="373"/>
      <c r="R31" s="200"/>
      <c r="S31" s="202"/>
      <c r="T31" s="198"/>
      <c r="U31" s="239" t="s">
        <v>61</v>
      </c>
      <c r="V31" s="240"/>
      <c r="W31" s="240"/>
      <c r="X31" s="241"/>
      <c r="Y31" s="564" t="str">
        <f>AM11</f>
        <v xml:space="preserve"> </v>
      </c>
      <c r="Z31" s="494"/>
      <c r="AA31" s="489"/>
      <c r="AB31" s="491"/>
      <c r="AE31" s="56"/>
      <c r="AF31" s="267"/>
      <c r="AG31" s="267"/>
      <c r="AH31" s="268"/>
      <c r="AI31" s="266"/>
      <c r="AJ31" s="267"/>
      <c r="AK31" s="267"/>
      <c r="AL31" s="268"/>
      <c r="AM31" s="475"/>
      <c r="AN31" s="476"/>
      <c r="AP31" s="477"/>
      <c r="AQ31" s="267"/>
      <c r="AR31" s="267"/>
      <c r="AS31" s="268"/>
      <c r="AT31" s="47"/>
      <c r="AU31" s="217"/>
      <c r="AX31" s="304"/>
      <c r="AY31" s="353"/>
      <c r="AZ31" s="426"/>
      <c r="BA31" s="426"/>
      <c r="BB31" s="426"/>
      <c r="BC31" s="352"/>
      <c r="BD31" s="305"/>
      <c r="BE31" s="306"/>
      <c r="BG31" s="436"/>
      <c r="BH31" s="426"/>
      <c r="BI31" s="434"/>
      <c r="BL31" s="460"/>
      <c r="BM31" s="461"/>
      <c r="BO31" s="447"/>
      <c r="BP31" s="449"/>
      <c r="BS31" s="460"/>
      <c r="BT31" s="461"/>
      <c r="BV31" s="447"/>
      <c r="BW31" s="509"/>
      <c r="BX31" s="510"/>
      <c r="BY31" s="511"/>
    </row>
    <row r="32" spans="2:77" ht="16.5" thickTop="1" thickBot="1">
      <c r="B32" s="357" t="s">
        <v>72</v>
      </c>
      <c r="C32" s="399"/>
      <c r="D32" s="384"/>
      <c r="E32" s="384"/>
      <c r="F32" s="397"/>
      <c r="G32" s="398"/>
      <c r="H32" s="203"/>
      <c r="I32" s="363" t="s">
        <v>79</v>
      </c>
      <c r="J32" s="365"/>
      <c r="K32" s="365"/>
      <c r="L32" s="365"/>
      <c r="M32" s="366"/>
      <c r="N32" s="198"/>
      <c r="O32" s="371" t="s">
        <v>102</v>
      </c>
      <c r="P32" s="372"/>
      <c r="Q32" s="373"/>
      <c r="R32" s="200"/>
      <c r="S32" s="202"/>
      <c r="T32" s="198"/>
      <c r="U32" s="239" t="s">
        <v>62</v>
      </c>
      <c r="V32" s="240"/>
      <c r="W32" s="240"/>
      <c r="X32" s="241"/>
      <c r="Y32" s="489" t="str">
        <f>AO11</f>
        <v xml:space="preserve"> </v>
      </c>
      <c r="Z32" s="490"/>
      <c r="AA32" s="490"/>
      <c r="AB32" s="491"/>
      <c r="AP32" s="478"/>
      <c r="AQ32" s="479"/>
      <c r="AR32" s="479"/>
      <c r="AS32" s="480"/>
      <c r="AT32" s="47"/>
      <c r="AU32" s="217"/>
      <c r="AX32" s="424"/>
      <c r="AY32" s="348"/>
      <c r="AZ32" s="425"/>
      <c r="BA32" s="425"/>
      <c r="BB32" s="425"/>
      <c r="BC32" s="346"/>
      <c r="BD32" s="347"/>
      <c r="BE32" s="427"/>
      <c r="BG32" s="22"/>
      <c r="BH32" s="20"/>
      <c r="BI32" s="17"/>
      <c r="BL32" s="458"/>
      <c r="BM32" s="459"/>
      <c r="BO32" s="446">
        <v>90</v>
      </c>
      <c r="BP32" s="448"/>
      <c r="BS32" s="458"/>
      <c r="BT32" s="459"/>
      <c r="BV32" s="446">
        <v>90</v>
      </c>
      <c r="BW32" s="506"/>
      <c r="BX32" s="507"/>
      <c r="BY32" s="508"/>
    </row>
    <row r="33" spans="2:77" ht="16.5" thickTop="1" thickBot="1">
      <c r="B33" s="207"/>
      <c r="C33" s="207"/>
      <c r="D33" s="207"/>
      <c r="E33" s="207"/>
      <c r="F33" s="203"/>
      <c r="G33" s="203"/>
      <c r="H33" s="203"/>
      <c r="I33" s="400" t="s">
        <v>80</v>
      </c>
      <c r="J33" s="401"/>
      <c r="K33" s="401"/>
      <c r="L33" s="201"/>
      <c r="M33" s="202"/>
      <c r="N33" s="198"/>
      <c r="O33" s="374" t="s">
        <v>103</v>
      </c>
      <c r="P33" s="358"/>
      <c r="Q33" s="359"/>
      <c r="R33" s="208"/>
      <c r="S33" s="206"/>
      <c r="T33" s="198"/>
      <c r="U33" s="239" t="s">
        <v>63</v>
      </c>
      <c r="V33" s="240"/>
      <c r="W33" s="240"/>
      <c r="X33" s="241"/>
      <c r="Y33" s="489" t="str">
        <f>AP11</f>
        <v xml:space="preserve"> </v>
      </c>
      <c r="Z33" s="490"/>
      <c r="AA33" s="490"/>
      <c r="AB33" s="491"/>
      <c r="AE33" s="226" t="s">
        <v>894</v>
      </c>
      <c r="AF33" s="297"/>
      <c r="AG33" s="297"/>
      <c r="AH33" s="297"/>
      <c r="AI33" s="297"/>
      <c r="AJ33" s="297"/>
      <c r="AK33" s="297"/>
      <c r="AL33" s="297"/>
      <c r="AM33" s="297"/>
      <c r="AN33" s="329"/>
      <c r="AP33" s="310"/>
      <c r="AQ33" s="223"/>
      <c r="AR33" s="223"/>
      <c r="AS33" s="224"/>
      <c r="AT33" s="47"/>
      <c r="AU33" s="217"/>
      <c r="AX33" s="304"/>
      <c r="AY33" s="353"/>
      <c r="AZ33" s="426"/>
      <c r="BA33" s="426"/>
      <c r="BB33" s="426"/>
      <c r="BC33" s="352"/>
      <c r="BD33" s="305"/>
      <c r="BE33" s="306"/>
      <c r="BG33" s="26"/>
      <c r="BH33" s="29"/>
      <c r="BI33" s="28"/>
      <c r="BL33" s="460"/>
      <c r="BM33" s="461"/>
      <c r="BO33" s="447"/>
      <c r="BP33" s="449"/>
      <c r="BS33" s="460"/>
      <c r="BT33" s="461"/>
      <c r="BV33" s="447"/>
      <c r="BW33" s="509"/>
      <c r="BX33" s="510"/>
      <c r="BY33" s="511"/>
    </row>
    <row r="34" spans="2:77" ht="16.5" thickTop="1" thickBot="1">
      <c r="B34" s="363" t="s">
        <v>118</v>
      </c>
      <c r="C34" s="364"/>
      <c r="D34" s="365"/>
      <c r="E34" s="365"/>
      <c r="F34" s="365"/>
      <c r="G34" s="366"/>
      <c r="H34" s="197"/>
      <c r="I34" s="409" t="s">
        <v>81</v>
      </c>
      <c r="J34" s="410"/>
      <c r="K34" s="410"/>
      <c r="L34" s="205"/>
      <c r="M34" s="206"/>
      <c r="N34" s="198"/>
      <c r="O34" s="203"/>
      <c r="P34" s="203"/>
      <c r="Q34" s="203"/>
      <c r="R34" s="203"/>
      <c r="S34" s="198"/>
      <c r="T34" s="198"/>
      <c r="U34" s="239" t="s">
        <v>64</v>
      </c>
      <c r="V34" s="240"/>
      <c r="W34" s="240"/>
      <c r="X34" s="241"/>
      <c r="Y34" s="242" t="s">
        <v>896</v>
      </c>
      <c r="Z34" s="243"/>
      <c r="AA34" s="243"/>
      <c r="AB34" s="244"/>
      <c r="AE34" s="49" t="s">
        <v>5</v>
      </c>
      <c r="AF34" s="264" t="s">
        <v>127</v>
      </c>
      <c r="AG34" s="250"/>
      <c r="AH34" s="251"/>
      <c r="AI34" s="264" t="s">
        <v>145</v>
      </c>
      <c r="AJ34" s="250"/>
      <c r="AK34" s="250"/>
      <c r="AL34" s="251"/>
      <c r="AM34" s="472" t="s">
        <v>143</v>
      </c>
      <c r="AN34" s="473"/>
      <c r="AP34" s="310"/>
      <c r="AQ34" s="223"/>
      <c r="AR34" s="223"/>
      <c r="AS34" s="224"/>
      <c r="AT34" s="47"/>
      <c r="AU34" s="217"/>
      <c r="AX34" s="424"/>
      <c r="AY34" s="348"/>
      <c r="AZ34" s="425"/>
      <c r="BA34" s="425"/>
      <c r="BB34" s="425"/>
      <c r="BC34" s="346"/>
      <c r="BD34" s="347"/>
      <c r="BE34" s="427"/>
      <c r="BG34" s="26"/>
      <c r="BH34" s="29"/>
      <c r="BI34" s="28"/>
      <c r="BL34" s="458"/>
      <c r="BM34" s="459"/>
      <c r="BO34" s="446">
        <v>100</v>
      </c>
      <c r="BP34" s="448"/>
      <c r="BS34" s="458"/>
      <c r="BT34" s="459"/>
      <c r="BV34" s="446">
        <v>100</v>
      </c>
      <c r="BW34" s="506"/>
      <c r="BX34" s="507"/>
      <c r="BY34" s="508"/>
    </row>
    <row r="35" spans="2:77" ht="16.5" thickTop="1" thickBot="1">
      <c r="B35" s="354" t="s">
        <v>122</v>
      </c>
      <c r="C35" s="356"/>
      <c r="D35" s="383"/>
      <c r="E35" s="383"/>
      <c r="F35" s="375"/>
      <c r="G35" s="376"/>
      <c r="H35" s="203"/>
      <c r="I35" s="204"/>
      <c r="J35" s="198"/>
      <c r="K35" s="198"/>
      <c r="L35" s="198"/>
      <c r="M35" s="198"/>
      <c r="N35" s="198"/>
      <c r="O35" s="360" t="s">
        <v>104</v>
      </c>
      <c r="P35" s="361"/>
      <c r="Q35" s="361"/>
      <c r="R35" s="361"/>
      <c r="S35" s="362"/>
      <c r="T35" s="198"/>
      <c r="U35" s="236"/>
      <c r="V35" s="237"/>
      <c r="W35" s="237"/>
      <c r="X35" s="237"/>
      <c r="Y35" s="237"/>
      <c r="Z35" s="237"/>
      <c r="AA35" s="237"/>
      <c r="AB35" s="238"/>
      <c r="AE35" s="55"/>
      <c r="AF35" s="423" t="str">
        <f>L21</f>
        <v xml:space="preserve"> </v>
      </c>
      <c r="AG35" s="221"/>
      <c r="AH35" s="222"/>
      <c r="AI35" s="252"/>
      <c r="AJ35" s="253"/>
      <c r="AK35" s="253"/>
      <c r="AL35" s="279"/>
      <c r="AM35" s="413"/>
      <c r="AN35" s="414"/>
      <c r="AP35" s="310"/>
      <c r="AQ35" s="223"/>
      <c r="AR35" s="223"/>
      <c r="AS35" s="224"/>
      <c r="AT35" s="47"/>
      <c r="AU35" s="217"/>
      <c r="AX35" s="439"/>
      <c r="AY35" s="440"/>
      <c r="AZ35" s="441"/>
      <c r="BA35" s="441"/>
      <c r="BB35" s="441"/>
      <c r="BC35" s="442"/>
      <c r="BD35" s="225"/>
      <c r="BE35" s="443"/>
      <c r="BG35" s="27"/>
      <c r="BH35" s="30"/>
      <c r="BI35" s="19"/>
      <c r="BL35" s="460"/>
      <c r="BM35" s="461"/>
      <c r="BO35" s="447"/>
      <c r="BP35" s="449"/>
      <c r="BS35" s="460"/>
      <c r="BT35" s="461"/>
      <c r="BV35" s="447"/>
      <c r="BW35" s="509"/>
      <c r="BX35" s="510"/>
      <c r="BY35" s="511"/>
    </row>
    <row r="36" spans="2:77" ht="16.5" thickTop="1" thickBot="1">
      <c r="B36" s="371" t="s">
        <v>125</v>
      </c>
      <c r="C36" s="373"/>
      <c r="D36" s="383"/>
      <c r="E36" s="383"/>
      <c r="F36" s="375"/>
      <c r="G36" s="376"/>
      <c r="H36" s="203"/>
      <c r="I36" s="363" t="s">
        <v>82</v>
      </c>
      <c r="J36" s="365"/>
      <c r="K36" s="365"/>
      <c r="L36" s="365"/>
      <c r="M36" s="366"/>
      <c r="N36" s="198"/>
      <c r="O36" s="354" t="s">
        <v>105</v>
      </c>
      <c r="P36" s="355"/>
      <c r="Q36" s="356"/>
      <c r="R36" s="200"/>
      <c r="S36" s="202"/>
      <c r="T36" s="198"/>
      <c r="U36" s="198"/>
      <c r="V36" s="198"/>
      <c r="W36" s="198"/>
      <c r="X36" s="198"/>
      <c r="Y36" s="198"/>
      <c r="Z36" s="198"/>
      <c r="AA36" s="198"/>
      <c r="AB36" s="198"/>
      <c r="AE36" s="55"/>
      <c r="AF36" s="423" t="str">
        <f t="shared" ref="AF36:AF37" si="0">L22</f>
        <v xml:space="preserve"> </v>
      </c>
      <c r="AG36" s="221"/>
      <c r="AH36" s="222"/>
      <c r="AI36" s="252"/>
      <c r="AJ36" s="253"/>
      <c r="AK36" s="253"/>
      <c r="AL36" s="279"/>
      <c r="AM36" s="413"/>
      <c r="AN36" s="414"/>
      <c r="AP36" s="310"/>
      <c r="AQ36" s="223"/>
      <c r="AR36" s="223"/>
      <c r="AS36" s="224"/>
      <c r="AT36" s="47"/>
      <c r="AU36" s="217"/>
      <c r="BL36" s="458"/>
      <c r="BM36" s="459"/>
      <c r="BO36" s="446">
        <v>110</v>
      </c>
      <c r="BP36" s="448"/>
      <c r="BS36" s="458"/>
      <c r="BT36" s="459"/>
      <c r="BV36" s="446">
        <v>110</v>
      </c>
      <c r="BW36" s="506"/>
      <c r="BX36" s="507"/>
      <c r="BY36" s="508"/>
    </row>
    <row r="37" spans="2:77" ht="15.75" thickTop="1">
      <c r="B37" s="354" t="s">
        <v>119</v>
      </c>
      <c r="C37" s="356"/>
      <c r="D37" s="383"/>
      <c r="E37" s="383"/>
      <c r="F37" s="375"/>
      <c r="G37" s="376"/>
      <c r="H37" s="203"/>
      <c r="I37" s="400" t="s">
        <v>83</v>
      </c>
      <c r="J37" s="401"/>
      <c r="K37" s="401"/>
      <c r="L37" s="201"/>
      <c r="M37" s="202"/>
      <c r="N37" s="198"/>
      <c r="O37" s="354" t="s">
        <v>106</v>
      </c>
      <c r="P37" s="355"/>
      <c r="Q37" s="356"/>
      <c r="R37" s="200"/>
      <c r="S37" s="202"/>
      <c r="T37" s="198"/>
      <c r="U37" s="360" t="s">
        <v>126</v>
      </c>
      <c r="V37" s="361"/>
      <c r="W37" s="361"/>
      <c r="X37" s="361"/>
      <c r="Y37" s="361"/>
      <c r="Z37" s="361"/>
      <c r="AA37" s="361"/>
      <c r="AB37" s="362"/>
      <c r="AE37" s="55"/>
      <c r="AF37" s="423" t="str">
        <f t="shared" si="0"/>
        <v xml:space="preserve"> </v>
      </c>
      <c r="AG37" s="221"/>
      <c r="AH37" s="222"/>
      <c r="AI37" s="252"/>
      <c r="AJ37" s="253"/>
      <c r="AK37" s="253"/>
      <c r="AL37" s="279"/>
      <c r="AM37" s="413"/>
      <c r="AN37" s="414"/>
      <c r="AP37" s="310"/>
      <c r="AQ37" s="223"/>
      <c r="AR37" s="223"/>
      <c r="AS37" s="224"/>
      <c r="AT37" s="47"/>
      <c r="AU37" s="217"/>
      <c r="AX37" s="226" t="s">
        <v>157</v>
      </c>
      <c r="AY37" s="297"/>
      <c r="AZ37" s="297"/>
      <c r="BA37" s="297"/>
      <c r="BB37" s="297"/>
      <c r="BC37" s="297"/>
      <c r="BD37" s="297"/>
      <c r="BE37" s="297"/>
      <c r="BF37" s="297"/>
      <c r="BG37" s="297"/>
      <c r="BH37" s="297"/>
      <c r="BI37" s="329"/>
      <c r="BL37" s="460"/>
      <c r="BM37" s="461"/>
      <c r="BO37" s="447"/>
      <c r="BP37" s="449"/>
      <c r="BS37" s="460"/>
      <c r="BT37" s="461"/>
      <c r="BV37" s="447"/>
      <c r="BW37" s="509"/>
      <c r="BX37" s="510"/>
      <c r="BY37" s="511"/>
    </row>
    <row r="38" spans="2:77">
      <c r="B38" s="371" t="s">
        <v>120</v>
      </c>
      <c r="C38" s="373"/>
      <c r="D38" s="383"/>
      <c r="E38" s="383"/>
      <c r="F38" s="375"/>
      <c r="G38" s="376"/>
      <c r="H38" s="203"/>
      <c r="I38" s="400" t="s">
        <v>84</v>
      </c>
      <c r="J38" s="401"/>
      <c r="K38" s="401"/>
      <c r="L38" s="201"/>
      <c r="M38" s="202"/>
      <c r="N38" s="198"/>
      <c r="O38" s="354" t="s">
        <v>107</v>
      </c>
      <c r="P38" s="355"/>
      <c r="Q38" s="356"/>
      <c r="R38" s="200"/>
      <c r="S38" s="202"/>
      <c r="T38" s="198"/>
      <c r="U38" s="239" t="s">
        <v>127</v>
      </c>
      <c r="V38" s="240"/>
      <c r="W38" s="240"/>
      <c r="X38" s="240"/>
      <c r="Y38" s="240"/>
      <c r="Z38" s="209" t="s">
        <v>2</v>
      </c>
      <c r="AA38" s="209" t="s">
        <v>4</v>
      </c>
      <c r="AB38" s="210" t="s">
        <v>3</v>
      </c>
      <c r="AE38" s="55"/>
      <c r="AF38" s="221"/>
      <c r="AG38" s="221"/>
      <c r="AH38" s="222"/>
      <c r="AI38" s="252"/>
      <c r="AJ38" s="253"/>
      <c r="AK38" s="253"/>
      <c r="AL38" s="279"/>
      <c r="AM38" s="413"/>
      <c r="AN38" s="414"/>
      <c r="AP38" s="310"/>
      <c r="AQ38" s="223"/>
      <c r="AR38" s="223"/>
      <c r="AS38" s="224"/>
      <c r="AT38" s="47"/>
      <c r="AU38" s="217"/>
      <c r="AX38" s="2" t="s">
        <v>127</v>
      </c>
      <c r="AY38" s="58" t="s">
        <v>156</v>
      </c>
      <c r="AZ38" s="444" t="s">
        <v>63</v>
      </c>
      <c r="BA38" s="444"/>
      <c r="BB38" s="444"/>
      <c r="BC38" s="444"/>
      <c r="BD38" s="3" t="s">
        <v>158</v>
      </c>
      <c r="BE38" s="444" t="s">
        <v>159</v>
      </c>
      <c r="BF38" s="444"/>
      <c r="BG38" s="44" t="s">
        <v>151</v>
      </c>
      <c r="BH38" s="444" t="s">
        <v>146</v>
      </c>
      <c r="BI38" s="445"/>
      <c r="BL38" s="458"/>
      <c r="BM38" s="459"/>
      <c r="BO38" s="446">
        <v>120</v>
      </c>
      <c r="BP38" s="448"/>
      <c r="BS38" s="458"/>
      <c r="BT38" s="459"/>
      <c r="BV38" s="446">
        <v>120</v>
      </c>
      <c r="BW38" s="506"/>
      <c r="BX38" s="507"/>
      <c r="BY38" s="508"/>
    </row>
    <row r="39" spans="2:77">
      <c r="B39" s="371" t="s">
        <v>121</v>
      </c>
      <c r="C39" s="373"/>
      <c r="D39" s="383"/>
      <c r="E39" s="383"/>
      <c r="F39" s="375"/>
      <c r="G39" s="376"/>
      <c r="H39" s="198"/>
      <c r="I39" s="400" t="s">
        <v>85</v>
      </c>
      <c r="J39" s="401"/>
      <c r="K39" s="401"/>
      <c r="L39" s="201"/>
      <c r="M39" s="202"/>
      <c r="N39" s="198"/>
      <c r="O39" s="354" t="s">
        <v>108</v>
      </c>
      <c r="P39" s="355"/>
      <c r="Q39" s="356"/>
      <c r="R39" s="200"/>
      <c r="S39" s="202"/>
      <c r="T39" s="198"/>
      <c r="U39" s="381" t="e">
        <f>INDEX('Ветки талантов всех професс'!2:2,1,MATCH('ЛИСТ ПЕРСОНАЖА'!D8,'Ветки талантов всех професс'!1:1,0))</f>
        <v>#N/A</v>
      </c>
      <c r="V39" s="382"/>
      <c r="W39" s="382"/>
      <c r="X39" s="382"/>
      <c r="Y39" s="382"/>
      <c r="Z39" s="213" t="e">
        <f>INDEX('Ветки талантов всех професс'!2:2,1,MATCH('ЛИСТ ПЕРСОНАЖА'!D8,'[1]Ветки талантов всех професс'!1:1,0)+3)</f>
        <v>#N/A</v>
      </c>
      <c r="AA39" s="201">
        <v>1</v>
      </c>
      <c r="AB39" s="211"/>
      <c r="AE39" s="55"/>
      <c r="AF39" s="221"/>
      <c r="AG39" s="221"/>
      <c r="AH39" s="222"/>
      <c r="AI39" s="252"/>
      <c r="AJ39" s="253"/>
      <c r="AK39" s="253"/>
      <c r="AL39" s="279"/>
      <c r="AM39" s="413"/>
      <c r="AN39" s="414"/>
      <c r="AP39" s="249" t="s">
        <v>147</v>
      </c>
      <c r="AQ39" s="250"/>
      <c r="AR39" s="250"/>
      <c r="AS39" s="250"/>
      <c r="AT39" s="250"/>
      <c r="AU39" s="258"/>
      <c r="AX39" s="437"/>
      <c r="AY39" s="425"/>
      <c r="AZ39" s="346"/>
      <c r="BA39" s="347"/>
      <c r="BB39" s="347"/>
      <c r="BC39" s="348"/>
      <c r="BD39" s="425"/>
      <c r="BE39" s="346"/>
      <c r="BF39" s="348"/>
      <c r="BG39" s="425"/>
      <c r="BH39" s="346"/>
      <c r="BI39" s="427"/>
      <c r="BL39" s="460"/>
      <c r="BM39" s="461"/>
      <c r="BO39" s="447"/>
      <c r="BP39" s="449"/>
      <c r="BS39" s="460"/>
      <c r="BT39" s="461"/>
      <c r="BV39" s="447"/>
      <c r="BW39" s="509"/>
      <c r="BX39" s="510"/>
      <c r="BY39" s="511"/>
    </row>
    <row r="40" spans="2:77">
      <c r="B40" s="371" t="s">
        <v>124</v>
      </c>
      <c r="C40" s="373"/>
      <c r="D40" s="383"/>
      <c r="E40" s="383"/>
      <c r="F40" s="375"/>
      <c r="G40" s="376"/>
      <c r="H40" s="203"/>
      <c r="I40" s="400" t="s">
        <v>86</v>
      </c>
      <c r="J40" s="401"/>
      <c r="K40" s="401"/>
      <c r="L40" s="201"/>
      <c r="M40" s="202"/>
      <c r="N40" s="198"/>
      <c r="O40" s="354" t="s">
        <v>117</v>
      </c>
      <c r="P40" s="355"/>
      <c r="Q40" s="356"/>
      <c r="R40" s="200"/>
      <c r="S40" s="202"/>
      <c r="T40" s="198"/>
      <c r="U40" s="377"/>
      <c r="V40" s="378"/>
      <c r="W40" s="378"/>
      <c r="X40" s="378"/>
      <c r="Y40" s="378"/>
      <c r="Z40" s="201"/>
      <c r="AA40" s="201"/>
      <c r="AB40" s="211"/>
      <c r="AE40" s="55"/>
      <c r="AF40" s="221"/>
      <c r="AG40" s="221"/>
      <c r="AH40" s="222"/>
      <c r="AI40" s="252"/>
      <c r="AJ40" s="253"/>
      <c r="AK40" s="253"/>
      <c r="AL40" s="279"/>
      <c r="AM40" s="413"/>
      <c r="AN40" s="414"/>
      <c r="AP40" s="269" t="s">
        <v>14</v>
      </c>
      <c r="AQ40" s="253"/>
      <c r="AR40" s="253"/>
      <c r="AS40" s="279"/>
      <c r="AT40" s="36"/>
      <c r="AU40" s="34"/>
      <c r="AX40" s="436"/>
      <c r="AY40" s="426"/>
      <c r="AZ40" s="352"/>
      <c r="BA40" s="305"/>
      <c r="BB40" s="305"/>
      <c r="BC40" s="353"/>
      <c r="BD40" s="426"/>
      <c r="BE40" s="352"/>
      <c r="BF40" s="353"/>
      <c r="BG40" s="426"/>
      <c r="BH40" s="352"/>
      <c r="BI40" s="306"/>
      <c r="BL40" s="458"/>
      <c r="BM40" s="459"/>
      <c r="BO40" s="446">
        <v>130</v>
      </c>
      <c r="BP40" s="448"/>
      <c r="BS40" s="458"/>
      <c r="BT40" s="459"/>
      <c r="BV40" s="446">
        <v>130</v>
      </c>
      <c r="BW40" s="506"/>
      <c r="BX40" s="507"/>
      <c r="BY40" s="508"/>
    </row>
    <row r="41" spans="2:77" ht="15" customHeight="1" thickBot="1">
      <c r="B41" s="357" t="s">
        <v>123</v>
      </c>
      <c r="C41" s="399"/>
      <c r="D41" s="384"/>
      <c r="E41" s="384"/>
      <c r="F41" s="397"/>
      <c r="G41" s="398"/>
      <c r="H41" s="203"/>
      <c r="I41" s="411" t="s">
        <v>87</v>
      </c>
      <c r="J41" s="412"/>
      <c r="K41" s="412"/>
      <c r="L41" s="201"/>
      <c r="M41" s="202"/>
      <c r="N41" s="198"/>
      <c r="O41" s="354" t="s">
        <v>109</v>
      </c>
      <c r="P41" s="355"/>
      <c r="Q41" s="356"/>
      <c r="R41" s="200"/>
      <c r="S41" s="202"/>
      <c r="T41" s="198"/>
      <c r="U41" s="377"/>
      <c r="V41" s="378"/>
      <c r="W41" s="378"/>
      <c r="X41" s="378"/>
      <c r="Y41" s="378"/>
      <c r="Z41" s="201"/>
      <c r="AA41" s="201"/>
      <c r="AB41" s="211"/>
      <c r="AE41" s="55"/>
      <c r="AF41" s="221"/>
      <c r="AG41" s="221"/>
      <c r="AH41" s="222"/>
      <c r="AI41" s="252"/>
      <c r="AJ41" s="253"/>
      <c r="AK41" s="253"/>
      <c r="AL41" s="279"/>
      <c r="AM41" s="413"/>
      <c r="AN41" s="414"/>
      <c r="AP41" s="269" t="s">
        <v>6</v>
      </c>
      <c r="AQ41" s="253"/>
      <c r="AR41" s="253"/>
      <c r="AS41" s="279"/>
      <c r="AT41" s="36"/>
      <c r="AU41" s="34"/>
      <c r="AX41" s="437"/>
      <c r="AY41" s="425"/>
      <c r="AZ41" s="346"/>
      <c r="BA41" s="347"/>
      <c r="BB41" s="347"/>
      <c r="BC41" s="348"/>
      <c r="BD41" s="425"/>
      <c r="BE41" s="346"/>
      <c r="BF41" s="348"/>
      <c r="BG41" s="425"/>
      <c r="BH41" s="346"/>
      <c r="BI41" s="427"/>
      <c r="BL41" s="460"/>
      <c r="BM41" s="461"/>
      <c r="BO41" s="447"/>
      <c r="BP41" s="449"/>
      <c r="BS41" s="460"/>
      <c r="BT41" s="461"/>
      <c r="BV41" s="447"/>
      <c r="BW41" s="509"/>
      <c r="BX41" s="510"/>
      <c r="BY41" s="511"/>
    </row>
    <row r="42" spans="2:77" ht="16.5" thickTop="1" thickBot="1">
      <c r="B42" s="207"/>
      <c r="C42" s="207"/>
      <c r="D42" s="207"/>
      <c r="E42" s="207"/>
      <c r="F42" s="203"/>
      <c r="G42" s="203"/>
      <c r="H42" s="203"/>
      <c r="I42" s="411" t="s">
        <v>88</v>
      </c>
      <c r="J42" s="412"/>
      <c r="K42" s="412"/>
      <c r="L42" s="201"/>
      <c r="M42" s="202"/>
      <c r="N42" s="198"/>
      <c r="O42" s="354" t="s">
        <v>110</v>
      </c>
      <c r="P42" s="355"/>
      <c r="Q42" s="356"/>
      <c r="R42" s="200"/>
      <c r="S42" s="202"/>
      <c r="T42" s="198"/>
      <c r="U42" s="377"/>
      <c r="V42" s="378"/>
      <c r="W42" s="378"/>
      <c r="X42" s="378"/>
      <c r="Y42" s="378"/>
      <c r="Z42" s="201"/>
      <c r="AA42" s="201"/>
      <c r="AB42" s="211"/>
      <c r="AE42" s="55"/>
      <c r="AF42" s="221"/>
      <c r="AG42" s="221"/>
      <c r="AH42" s="222"/>
      <c r="AI42" s="252"/>
      <c r="AJ42" s="253"/>
      <c r="AK42" s="253"/>
      <c r="AL42" s="279"/>
      <c r="AM42" s="413"/>
      <c r="AN42" s="414"/>
      <c r="AP42" s="269" t="s">
        <v>7</v>
      </c>
      <c r="AQ42" s="253"/>
      <c r="AR42" s="253"/>
      <c r="AS42" s="279"/>
      <c r="AT42" s="36"/>
      <c r="AU42" s="34"/>
      <c r="AX42" s="436"/>
      <c r="AY42" s="426"/>
      <c r="AZ42" s="352"/>
      <c r="BA42" s="305"/>
      <c r="BB42" s="305"/>
      <c r="BC42" s="353"/>
      <c r="BD42" s="426"/>
      <c r="BE42" s="352"/>
      <c r="BF42" s="353"/>
      <c r="BG42" s="426"/>
      <c r="BH42" s="352"/>
      <c r="BI42" s="306"/>
      <c r="BL42" s="458"/>
      <c r="BM42" s="459"/>
      <c r="BO42" s="446">
        <v>140</v>
      </c>
      <c r="BP42" s="448"/>
      <c r="BS42" s="458"/>
      <c r="BT42" s="459"/>
      <c r="BV42" s="446">
        <v>140</v>
      </c>
      <c r="BW42" s="506"/>
      <c r="BX42" s="507"/>
      <c r="BY42" s="508"/>
    </row>
    <row r="43" spans="2:77" ht="15" customHeight="1" thickTop="1">
      <c r="B43" s="363" t="s">
        <v>93</v>
      </c>
      <c r="C43" s="364"/>
      <c r="D43" s="365"/>
      <c r="E43" s="365"/>
      <c r="F43" s="365"/>
      <c r="G43" s="366"/>
      <c r="H43" s="197"/>
      <c r="I43" s="400" t="s">
        <v>89</v>
      </c>
      <c r="J43" s="401"/>
      <c r="K43" s="401"/>
      <c r="L43" s="201"/>
      <c r="M43" s="202"/>
      <c r="N43" s="198"/>
      <c r="O43" s="354" t="s">
        <v>111</v>
      </c>
      <c r="P43" s="355"/>
      <c r="Q43" s="356"/>
      <c r="R43" s="200"/>
      <c r="S43" s="202"/>
      <c r="T43" s="198"/>
      <c r="U43" s="377"/>
      <c r="V43" s="378"/>
      <c r="W43" s="378"/>
      <c r="X43" s="378"/>
      <c r="Y43" s="378"/>
      <c r="Z43" s="201"/>
      <c r="AA43" s="201"/>
      <c r="AB43" s="211"/>
      <c r="AE43" s="55"/>
      <c r="AF43" s="221"/>
      <c r="AG43" s="221"/>
      <c r="AH43" s="222"/>
      <c r="AI43" s="252"/>
      <c r="AJ43" s="253"/>
      <c r="AK43" s="253"/>
      <c r="AL43" s="279"/>
      <c r="AM43" s="413"/>
      <c r="AN43" s="414"/>
      <c r="AP43" s="269" t="s">
        <v>8</v>
      </c>
      <c r="AQ43" s="253"/>
      <c r="AR43" s="253"/>
      <c r="AS43" s="279"/>
      <c r="AT43" s="36"/>
      <c r="AU43" s="34"/>
      <c r="AX43" s="437"/>
      <c r="AY43" s="425"/>
      <c r="AZ43" s="346"/>
      <c r="BA43" s="347"/>
      <c r="BB43" s="347"/>
      <c r="BC43" s="348"/>
      <c r="BD43" s="425"/>
      <c r="BE43" s="346"/>
      <c r="BF43" s="348"/>
      <c r="BG43" s="425"/>
      <c r="BH43" s="346"/>
      <c r="BI43" s="427"/>
      <c r="BL43" s="460"/>
      <c r="BM43" s="461"/>
      <c r="BO43" s="447"/>
      <c r="BP43" s="449"/>
      <c r="BS43" s="460"/>
      <c r="BT43" s="461"/>
      <c r="BV43" s="447"/>
      <c r="BW43" s="509"/>
      <c r="BX43" s="510"/>
      <c r="BY43" s="511"/>
    </row>
    <row r="44" spans="2:77">
      <c r="B44" s="381"/>
      <c r="C44" s="382"/>
      <c r="D44" s="394"/>
      <c r="E44" s="367"/>
      <c r="F44" s="367"/>
      <c r="G44" s="368"/>
      <c r="H44" s="203"/>
      <c r="I44" s="400" t="s">
        <v>90</v>
      </c>
      <c r="J44" s="401"/>
      <c r="K44" s="401"/>
      <c r="L44" s="201"/>
      <c r="M44" s="202"/>
      <c r="N44" s="198"/>
      <c r="O44" s="354" t="s">
        <v>112</v>
      </c>
      <c r="P44" s="355"/>
      <c r="Q44" s="356"/>
      <c r="R44" s="200"/>
      <c r="S44" s="202"/>
      <c r="T44" s="198"/>
      <c r="U44" s="377"/>
      <c r="V44" s="378"/>
      <c r="W44" s="378"/>
      <c r="X44" s="378"/>
      <c r="Y44" s="378"/>
      <c r="Z44" s="201"/>
      <c r="AA44" s="201"/>
      <c r="AB44" s="211"/>
      <c r="AE44" s="55"/>
      <c r="AF44" s="221"/>
      <c r="AG44" s="221"/>
      <c r="AH44" s="222"/>
      <c r="AI44" s="252"/>
      <c r="AJ44" s="253"/>
      <c r="AK44" s="253"/>
      <c r="AL44" s="279"/>
      <c r="AM44" s="413"/>
      <c r="AN44" s="414"/>
      <c r="AP44" s="269" t="s">
        <v>9</v>
      </c>
      <c r="AQ44" s="253"/>
      <c r="AR44" s="253"/>
      <c r="AS44" s="279"/>
      <c r="AT44" s="36"/>
      <c r="AU44" s="34"/>
      <c r="AX44" s="436"/>
      <c r="AY44" s="426"/>
      <c r="AZ44" s="352"/>
      <c r="BA44" s="305"/>
      <c r="BB44" s="305"/>
      <c r="BC44" s="353"/>
      <c r="BD44" s="426"/>
      <c r="BE44" s="352"/>
      <c r="BF44" s="353"/>
      <c r="BG44" s="426"/>
      <c r="BH44" s="352"/>
      <c r="BI44" s="306"/>
      <c r="BL44" s="458"/>
      <c r="BM44" s="459"/>
      <c r="BO44" s="446">
        <v>150</v>
      </c>
      <c r="BP44" s="448"/>
      <c r="BS44" s="458"/>
      <c r="BT44" s="459"/>
      <c r="BV44" s="446">
        <v>150</v>
      </c>
      <c r="BW44" s="506"/>
      <c r="BX44" s="507"/>
      <c r="BY44" s="508"/>
    </row>
    <row r="45" spans="2:77">
      <c r="B45" s="381"/>
      <c r="C45" s="382"/>
      <c r="D45" s="394"/>
      <c r="E45" s="367"/>
      <c r="F45" s="367"/>
      <c r="G45" s="368"/>
      <c r="H45" s="203"/>
      <c r="I45" s="400" t="s">
        <v>91</v>
      </c>
      <c r="J45" s="401"/>
      <c r="K45" s="401"/>
      <c r="L45" s="201"/>
      <c r="M45" s="202"/>
      <c r="N45" s="198"/>
      <c r="O45" s="371" t="s">
        <v>113</v>
      </c>
      <c r="P45" s="355"/>
      <c r="Q45" s="356"/>
      <c r="R45" s="200"/>
      <c r="S45" s="202"/>
      <c r="T45" s="198"/>
      <c r="U45" s="377"/>
      <c r="V45" s="378"/>
      <c r="W45" s="378"/>
      <c r="X45" s="378"/>
      <c r="Y45" s="378"/>
      <c r="Z45" s="201"/>
      <c r="AA45" s="201"/>
      <c r="AB45" s="211"/>
      <c r="AE45" s="55"/>
      <c r="AF45" s="221"/>
      <c r="AG45" s="221"/>
      <c r="AH45" s="222"/>
      <c r="AI45" s="265"/>
      <c r="AJ45" s="223"/>
      <c r="AK45" s="223"/>
      <c r="AL45" s="224"/>
      <c r="AM45" s="413"/>
      <c r="AN45" s="414"/>
      <c r="AP45" s="269" t="s">
        <v>10</v>
      </c>
      <c r="AQ45" s="253"/>
      <c r="AR45" s="253"/>
      <c r="AS45" s="279"/>
      <c r="AT45" s="36"/>
      <c r="AU45" s="34"/>
      <c r="AX45" s="437"/>
      <c r="AY45" s="425"/>
      <c r="AZ45" s="346"/>
      <c r="BA45" s="347"/>
      <c r="BB45" s="347"/>
      <c r="BC45" s="348"/>
      <c r="BD45" s="425"/>
      <c r="BE45" s="346"/>
      <c r="BF45" s="348"/>
      <c r="BG45" s="425"/>
      <c r="BH45" s="346"/>
      <c r="BI45" s="427"/>
      <c r="BL45" s="460"/>
      <c r="BM45" s="461"/>
      <c r="BO45" s="447"/>
      <c r="BP45" s="449"/>
      <c r="BS45" s="460"/>
      <c r="BT45" s="461"/>
      <c r="BV45" s="447"/>
      <c r="BW45" s="509"/>
      <c r="BX45" s="510"/>
      <c r="BY45" s="511"/>
    </row>
    <row r="46" spans="2:77" ht="15.75" thickBot="1">
      <c r="B46" s="381"/>
      <c r="C46" s="382"/>
      <c r="D46" s="394"/>
      <c r="E46" s="367"/>
      <c r="F46" s="367"/>
      <c r="G46" s="368"/>
      <c r="H46" s="203"/>
      <c r="I46" s="409" t="s">
        <v>92</v>
      </c>
      <c r="J46" s="410"/>
      <c r="K46" s="410"/>
      <c r="L46" s="205"/>
      <c r="M46" s="206"/>
      <c r="N46" s="198"/>
      <c r="O46" s="354" t="s">
        <v>114</v>
      </c>
      <c r="P46" s="355"/>
      <c r="Q46" s="356"/>
      <c r="R46" s="200"/>
      <c r="S46" s="202"/>
      <c r="T46" s="198"/>
      <c r="U46" s="377"/>
      <c r="V46" s="378"/>
      <c r="W46" s="378"/>
      <c r="X46" s="378"/>
      <c r="Y46" s="378"/>
      <c r="Z46" s="201"/>
      <c r="AA46" s="201"/>
      <c r="AB46" s="211"/>
      <c r="AE46" s="55"/>
      <c r="AF46" s="221"/>
      <c r="AG46" s="221"/>
      <c r="AH46" s="222"/>
      <c r="AI46" s="265"/>
      <c r="AJ46" s="223"/>
      <c r="AK46" s="223"/>
      <c r="AL46" s="224"/>
      <c r="AM46" s="413"/>
      <c r="AN46" s="414"/>
      <c r="AP46" s="269" t="s">
        <v>11</v>
      </c>
      <c r="AQ46" s="253"/>
      <c r="AR46" s="253"/>
      <c r="AS46" s="279"/>
      <c r="AT46" s="36"/>
      <c r="AU46" s="34"/>
      <c r="AX46" s="436"/>
      <c r="AY46" s="426"/>
      <c r="AZ46" s="352"/>
      <c r="BA46" s="305"/>
      <c r="BB46" s="305"/>
      <c r="BC46" s="353"/>
      <c r="BD46" s="426"/>
      <c r="BE46" s="352"/>
      <c r="BF46" s="353"/>
      <c r="BG46" s="426"/>
      <c r="BH46" s="352"/>
      <c r="BI46" s="306"/>
      <c r="BL46" s="458"/>
      <c r="BM46" s="459"/>
      <c r="BO46" s="446">
        <v>160</v>
      </c>
      <c r="BP46" s="448"/>
      <c r="BS46" s="458"/>
      <c r="BT46" s="459"/>
      <c r="BV46" s="446">
        <v>160</v>
      </c>
      <c r="BW46" s="506"/>
      <c r="BX46" s="507"/>
      <c r="BY46" s="508"/>
    </row>
    <row r="47" spans="2:77" ht="16.5" thickTop="1" thickBot="1">
      <c r="B47" s="381"/>
      <c r="C47" s="382"/>
      <c r="D47" s="394"/>
      <c r="E47" s="367"/>
      <c r="F47" s="367"/>
      <c r="G47" s="368"/>
      <c r="H47" s="203"/>
      <c r="I47" s="198"/>
      <c r="J47" s="198"/>
      <c r="K47" s="198"/>
      <c r="L47" s="198"/>
      <c r="M47" s="198"/>
      <c r="N47" s="198"/>
      <c r="O47" s="354" t="s">
        <v>115</v>
      </c>
      <c r="P47" s="355"/>
      <c r="Q47" s="356"/>
      <c r="R47" s="200"/>
      <c r="S47" s="202"/>
      <c r="T47" s="198"/>
      <c r="U47" s="377"/>
      <c r="V47" s="378"/>
      <c r="W47" s="378"/>
      <c r="X47" s="378"/>
      <c r="Y47" s="378"/>
      <c r="Z47" s="201"/>
      <c r="AA47" s="201"/>
      <c r="AB47" s="211"/>
      <c r="AE47" s="55"/>
      <c r="AF47" s="221"/>
      <c r="AG47" s="221"/>
      <c r="AH47" s="222"/>
      <c r="AI47" s="265"/>
      <c r="AJ47" s="223"/>
      <c r="AK47" s="223"/>
      <c r="AL47" s="224"/>
      <c r="AM47" s="413"/>
      <c r="AN47" s="414"/>
      <c r="AP47" s="269" t="s">
        <v>12</v>
      </c>
      <c r="AQ47" s="253"/>
      <c r="AR47" s="253"/>
      <c r="AS47" s="279"/>
      <c r="AT47" s="36"/>
      <c r="AU47" s="34"/>
      <c r="AX47" s="437"/>
      <c r="AY47" s="425"/>
      <c r="AZ47" s="346"/>
      <c r="BA47" s="347"/>
      <c r="BB47" s="347"/>
      <c r="BC47" s="348"/>
      <c r="BD47" s="425"/>
      <c r="BE47" s="346"/>
      <c r="BF47" s="348"/>
      <c r="BG47" s="425"/>
      <c r="BH47" s="346"/>
      <c r="BI47" s="427"/>
      <c r="BL47" s="462"/>
      <c r="BM47" s="463"/>
      <c r="BO47" s="447"/>
      <c r="BP47" s="449"/>
      <c r="BS47" s="462"/>
      <c r="BT47" s="463"/>
      <c r="BV47" s="447"/>
      <c r="BW47" s="512"/>
      <c r="BX47" s="513"/>
      <c r="BY47" s="514"/>
    </row>
    <row r="48" spans="2:77" ht="16.5" customHeight="1" thickTop="1" thickBot="1">
      <c r="B48" s="404"/>
      <c r="C48" s="405"/>
      <c r="D48" s="406"/>
      <c r="E48" s="369"/>
      <c r="F48" s="369"/>
      <c r="G48" s="370"/>
      <c r="H48" s="203"/>
      <c r="I48" s="416" t="s">
        <v>94</v>
      </c>
      <c r="J48" s="417"/>
      <c r="K48" s="418"/>
      <c r="L48" s="419"/>
      <c r="M48" s="420"/>
      <c r="N48" s="198"/>
      <c r="O48" s="357" t="s">
        <v>116</v>
      </c>
      <c r="P48" s="358"/>
      <c r="Q48" s="359"/>
      <c r="R48" s="208"/>
      <c r="S48" s="206"/>
      <c r="T48" s="198"/>
      <c r="U48" s="379"/>
      <c r="V48" s="380"/>
      <c r="W48" s="380"/>
      <c r="X48" s="380"/>
      <c r="Y48" s="380"/>
      <c r="Z48" s="205"/>
      <c r="AA48" s="205"/>
      <c r="AB48" s="212"/>
      <c r="AE48" s="56"/>
      <c r="AF48" s="421"/>
      <c r="AG48" s="421"/>
      <c r="AH48" s="422"/>
      <c r="AI48" s="266"/>
      <c r="AJ48" s="267"/>
      <c r="AK48" s="267"/>
      <c r="AL48" s="268"/>
      <c r="AM48" s="475"/>
      <c r="AN48" s="476"/>
      <c r="AP48" s="294" t="s">
        <v>13</v>
      </c>
      <c r="AQ48" s="295"/>
      <c r="AR48" s="295"/>
      <c r="AS48" s="415"/>
      <c r="AT48" s="37"/>
      <c r="AU48" s="32"/>
      <c r="AX48" s="438"/>
      <c r="AY48" s="441"/>
      <c r="AZ48" s="442"/>
      <c r="BA48" s="225"/>
      <c r="BB48" s="225"/>
      <c r="BC48" s="440"/>
      <c r="BD48" s="441"/>
      <c r="BE48" s="442"/>
      <c r="BF48" s="440"/>
      <c r="BG48" s="441"/>
      <c r="BH48" s="442"/>
      <c r="BI48" s="443"/>
      <c r="BL48" s="8"/>
      <c r="BM48" s="8"/>
      <c r="BO48" s="8"/>
      <c r="BP48" s="8"/>
      <c r="BS48" s="39"/>
      <c r="BT48" s="39"/>
      <c r="BV48" s="39"/>
      <c r="BW48" s="39"/>
      <c r="BX48" s="39"/>
      <c r="BY48" s="39"/>
    </row>
    <row r="49" spans="9:13" ht="15.75" thickTop="1">
      <c r="I49" s="41"/>
      <c r="J49" s="41"/>
      <c r="K49" s="40"/>
      <c r="L49" s="40"/>
      <c r="M49" s="40"/>
    </row>
  </sheetData>
  <mergeCells count="695">
    <mergeCell ref="BW16:BY17"/>
    <mergeCell ref="BW18:BY19"/>
    <mergeCell ref="BW20:BY21"/>
    <mergeCell ref="BW22:BY23"/>
    <mergeCell ref="BW24:BY25"/>
    <mergeCell ref="BW26:BY27"/>
    <mergeCell ref="BW28:BY29"/>
    <mergeCell ref="BW30:BY31"/>
    <mergeCell ref="BW32:BY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V38:BV39"/>
    <mergeCell ref="BV40:BV41"/>
    <mergeCell ref="BV42:BV43"/>
    <mergeCell ref="BS40:BT41"/>
    <mergeCell ref="BV32:BV33"/>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3" t="s">
        <v>248</v>
      </c>
      <c r="B6" s="524"/>
      <c r="C6" s="524"/>
      <c r="D6" s="524"/>
      <c r="E6" s="524"/>
      <c r="F6" s="524"/>
      <c r="G6" s="524"/>
      <c r="H6" s="524"/>
      <c r="I6" s="525"/>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1" t="s">
        <v>355</v>
      </c>
      <c r="B39" s="521"/>
      <c r="C39" s="521"/>
      <c r="D39" s="521"/>
      <c r="E39" s="521"/>
      <c r="F39" s="521"/>
      <c r="G39" s="521"/>
      <c r="H39" s="521"/>
      <c r="I39" s="522"/>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6" t="s">
        <v>766</v>
      </c>
      <c r="D18" s="526"/>
      <c r="E18" s="526"/>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0</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4" t="s">
        <v>214</v>
      </c>
      <c r="B1" s="535"/>
      <c r="C1" s="528"/>
      <c r="D1" s="100"/>
      <c r="E1" s="534" t="s">
        <v>212</v>
      </c>
      <c r="F1" s="535"/>
      <c r="G1" s="528"/>
      <c r="H1" s="100"/>
      <c r="I1" s="534" t="s">
        <v>198</v>
      </c>
      <c r="J1" s="535"/>
      <c r="K1" s="528"/>
      <c r="L1" s="100"/>
      <c r="M1" s="534" t="s">
        <v>210</v>
      </c>
      <c r="N1" s="535"/>
      <c r="O1" s="528"/>
      <c r="P1" s="101"/>
      <c r="Q1" s="534" t="s">
        <v>206</v>
      </c>
      <c r="R1" s="535"/>
      <c r="S1" s="528"/>
      <c r="T1" s="101"/>
      <c r="U1" s="560" t="s">
        <v>204</v>
      </c>
      <c r="V1" s="535"/>
      <c r="W1" s="528"/>
      <c r="X1" s="101"/>
      <c r="Y1" s="531" t="s">
        <v>208</v>
      </c>
      <c r="Z1" s="532"/>
      <c r="AA1" s="533"/>
      <c r="AB1" s="122"/>
      <c r="AC1" s="531" t="s">
        <v>202</v>
      </c>
      <c r="AD1" s="532"/>
      <c r="AE1" s="533"/>
      <c r="AF1" s="122"/>
      <c r="AG1" s="534" t="s">
        <v>200</v>
      </c>
      <c r="AH1" s="535"/>
      <c r="AI1" s="528"/>
    </row>
    <row r="2" spans="1:36" ht="51.75" customHeight="1" thickTop="1" thickBot="1">
      <c r="A2" s="537" t="s">
        <v>574</v>
      </c>
      <c r="B2" s="535"/>
      <c r="C2" s="528"/>
      <c r="D2" s="100" t="s">
        <v>37</v>
      </c>
      <c r="E2" s="537" t="s">
        <v>575</v>
      </c>
      <c r="F2" s="535"/>
      <c r="G2" s="528"/>
      <c r="H2" s="100" t="s">
        <v>42</v>
      </c>
      <c r="I2" s="537" t="s">
        <v>576</v>
      </c>
      <c r="J2" s="535"/>
      <c r="K2" s="528"/>
      <c r="L2" s="100" t="s">
        <v>42</v>
      </c>
      <c r="M2" s="537" t="s">
        <v>577</v>
      </c>
      <c r="N2" s="535"/>
      <c r="O2" s="528"/>
      <c r="P2" s="101" t="s">
        <v>37</v>
      </c>
      <c r="Q2" s="537" t="s">
        <v>578</v>
      </c>
      <c r="R2" s="535"/>
      <c r="S2" s="528"/>
      <c r="T2" s="101" t="s">
        <v>37</v>
      </c>
      <c r="U2" s="537" t="s">
        <v>579</v>
      </c>
      <c r="V2" s="535"/>
      <c r="W2" s="528"/>
      <c r="X2" s="101" t="s">
        <v>43</v>
      </c>
      <c r="Y2" s="536" t="s">
        <v>680</v>
      </c>
      <c r="Z2" s="535"/>
      <c r="AA2" s="528"/>
      <c r="AB2" s="214" t="s">
        <v>40</v>
      </c>
      <c r="AC2" s="536" t="s">
        <v>681</v>
      </c>
      <c r="AD2" s="535"/>
      <c r="AE2" s="528"/>
      <c r="AF2" s="214" t="s">
        <v>37</v>
      </c>
      <c r="AG2" s="537" t="s">
        <v>682</v>
      </c>
      <c r="AH2" s="535"/>
      <c r="AI2" s="528"/>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4" t="s">
        <v>635</v>
      </c>
      <c r="B7" s="528"/>
      <c r="C7" s="114" t="s">
        <v>636</v>
      </c>
      <c r="D7" s="100"/>
      <c r="E7" s="554" t="s">
        <v>637</v>
      </c>
      <c r="F7" s="528"/>
      <c r="G7" s="555" t="s">
        <v>638</v>
      </c>
      <c r="H7" s="100"/>
      <c r="I7" s="541" t="s">
        <v>639</v>
      </c>
      <c r="J7" s="528"/>
      <c r="K7" s="556" t="s">
        <v>640</v>
      </c>
      <c r="L7" s="100"/>
      <c r="M7" s="557" t="s">
        <v>641</v>
      </c>
      <c r="N7" s="528"/>
      <c r="O7" s="558" t="s">
        <v>642</v>
      </c>
      <c r="P7" s="101"/>
      <c r="Q7" s="559" t="s">
        <v>643</v>
      </c>
      <c r="R7" s="528"/>
      <c r="S7" s="553" t="s">
        <v>644</v>
      </c>
      <c r="T7" s="101"/>
      <c r="U7" s="546" t="s">
        <v>645</v>
      </c>
      <c r="V7" s="535"/>
      <c r="W7" s="528"/>
      <c r="X7" s="101"/>
      <c r="Y7" s="538" t="s">
        <v>717</v>
      </c>
      <c r="Z7" s="528"/>
      <c r="AA7" s="539" t="s">
        <v>718</v>
      </c>
      <c r="AB7" s="122"/>
      <c r="AC7" s="541" t="s">
        <v>719</v>
      </c>
      <c r="AD7" s="528"/>
      <c r="AE7" s="542" t="s">
        <v>720</v>
      </c>
      <c r="AF7" s="122"/>
      <c r="AG7" s="543" t="s">
        <v>721</v>
      </c>
      <c r="AH7" s="528"/>
      <c r="AI7" s="113" t="s">
        <v>722</v>
      </c>
    </row>
    <row r="8" spans="1:36" ht="51.75" customHeight="1" thickTop="1" thickBot="1">
      <c r="A8" s="115" t="s">
        <v>646</v>
      </c>
      <c r="B8" s="115" t="s">
        <v>647</v>
      </c>
      <c r="C8" s="547" t="s">
        <v>648</v>
      </c>
      <c r="D8" s="116"/>
      <c r="E8" s="115" t="s">
        <v>649</v>
      </c>
      <c r="F8" s="115" t="s">
        <v>650</v>
      </c>
      <c r="G8" s="540"/>
      <c r="H8" s="100"/>
      <c r="I8" s="115" t="s">
        <v>651</v>
      </c>
      <c r="J8" s="115" t="s">
        <v>21</v>
      </c>
      <c r="K8" s="548"/>
      <c r="L8" s="100"/>
      <c r="M8" s="549" t="s">
        <v>652</v>
      </c>
      <c r="N8" s="528"/>
      <c r="O8" s="548"/>
      <c r="P8" s="101"/>
      <c r="Q8" s="117" t="s">
        <v>653</v>
      </c>
      <c r="R8" s="117" t="s">
        <v>654</v>
      </c>
      <c r="S8" s="540"/>
      <c r="T8" s="101"/>
      <c r="U8" s="118" t="s">
        <v>655</v>
      </c>
      <c r="V8" s="118" t="s">
        <v>656</v>
      </c>
      <c r="W8" s="118" t="s">
        <v>657</v>
      </c>
      <c r="X8" s="101"/>
      <c r="Y8" s="118" t="s">
        <v>723</v>
      </c>
      <c r="Z8" s="118" t="s">
        <v>724</v>
      </c>
      <c r="AA8" s="540"/>
      <c r="AB8" s="122"/>
      <c r="AC8" s="118" t="s">
        <v>725</v>
      </c>
      <c r="AD8" s="118" t="s">
        <v>726</v>
      </c>
      <c r="AE8" s="540"/>
      <c r="AF8" s="122"/>
      <c r="AG8" s="124" t="s">
        <v>727</v>
      </c>
      <c r="AH8" s="124" t="s">
        <v>25</v>
      </c>
      <c r="AI8" s="125" t="s">
        <v>728</v>
      </c>
    </row>
    <row r="9" spans="1:36" ht="51.75" customHeight="1" thickTop="1" thickBot="1">
      <c r="A9" s="115" t="s">
        <v>658</v>
      </c>
      <c r="B9" s="115" t="s">
        <v>659</v>
      </c>
      <c r="C9" s="548"/>
      <c r="D9" s="116"/>
      <c r="E9" s="100"/>
      <c r="F9" s="100"/>
      <c r="G9" s="119"/>
      <c r="H9" s="100"/>
      <c r="I9" s="550" t="s">
        <v>660</v>
      </c>
      <c r="J9" s="528"/>
      <c r="K9" s="540"/>
      <c r="L9" s="100"/>
      <c r="M9" s="549" t="s">
        <v>661</v>
      </c>
      <c r="N9" s="528"/>
      <c r="O9" s="548"/>
      <c r="P9" s="101"/>
      <c r="Q9" s="551" t="s">
        <v>662</v>
      </c>
      <c r="R9" s="528"/>
      <c r="S9" s="553" t="s">
        <v>663</v>
      </c>
      <c r="T9" s="120"/>
      <c r="U9" s="118" t="s">
        <v>664</v>
      </c>
      <c r="V9" s="118" t="s">
        <v>665</v>
      </c>
      <c r="W9" s="118" t="s">
        <v>666</v>
      </c>
      <c r="X9" s="101"/>
      <c r="Y9" s="118" t="s">
        <v>729</v>
      </c>
      <c r="Z9" s="118" t="s">
        <v>730</v>
      </c>
      <c r="AA9" s="126"/>
      <c r="AB9" s="126"/>
      <c r="AC9" s="527" t="s">
        <v>731</v>
      </c>
      <c r="AD9" s="528"/>
      <c r="AE9" s="126"/>
      <c r="AF9" s="126"/>
      <c r="AG9" s="529"/>
      <c r="AH9" s="530"/>
      <c r="AI9" s="126"/>
    </row>
    <row r="10" spans="1:36" ht="51.75" customHeight="1" thickTop="1" thickBot="1">
      <c r="A10" s="115" t="s">
        <v>667</v>
      </c>
      <c r="B10" s="115" t="s">
        <v>668</v>
      </c>
      <c r="C10" s="548"/>
      <c r="D10" s="100"/>
      <c r="E10" s="100"/>
      <c r="F10" s="100"/>
      <c r="G10" s="119"/>
      <c r="H10" s="100"/>
      <c r="I10" s="100"/>
      <c r="J10" s="100"/>
      <c r="K10" s="100"/>
      <c r="L10" s="100"/>
      <c r="M10" s="549" t="s">
        <v>669</v>
      </c>
      <c r="N10" s="528"/>
      <c r="O10" s="540"/>
      <c r="P10" s="101"/>
      <c r="Q10" s="551" t="s">
        <v>670</v>
      </c>
      <c r="R10" s="528"/>
      <c r="S10" s="540"/>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8"/>
      <c r="D11" s="100"/>
      <c r="E11" s="100"/>
      <c r="F11" s="100"/>
      <c r="G11" s="119"/>
      <c r="H11" s="100"/>
      <c r="I11" s="100"/>
      <c r="J11" s="100"/>
      <c r="K11" s="100"/>
      <c r="L11" s="100"/>
      <c r="M11" s="100"/>
      <c r="N11" s="100"/>
      <c r="O11" s="100"/>
      <c r="P11" s="101"/>
      <c r="Q11" s="101"/>
      <c r="R11" s="101"/>
      <c r="S11" s="101"/>
      <c r="T11" s="121"/>
      <c r="U11" s="527" t="s">
        <v>676</v>
      </c>
      <c r="V11" s="535"/>
      <c r="W11" s="528"/>
      <c r="X11" s="101"/>
      <c r="Y11" s="101"/>
      <c r="Z11" s="101"/>
    </row>
    <row r="12" spans="1:36" ht="51.75" customHeight="1" thickTop="1" thickBot="1">
      <c r="A12" s="115" t="s">
        <v>677</v>
      </c>
      <c r="B12" s="115" t="s">
        <v>678</v>
      </c>
      <c r="C12" s="540"/>
      <c r="D12" s="122"/>
      <c r="E12" s="122"/>
      <c r="F12" s="122"/>
      <c r="G12" s="119"/>
      <c r="H12" s="122"/>
      <c r="I12" s="122"/>
      <c r="J12" s="122"/>
      <c r="K12" s="122"/>
      <c r="L12" s="122"/>
      <c r="M12" s="122"/>
      <c r="N12" s="122"/>
      <c r="O12" s="122"/>
      <c r="P12" s="101"/>
      <c r="Q12" s="101"/>
      <c r="R12" s="101"/>
      <c r="S12" s="101"/>
      <c r="T12" s="101"/>
      <c r="U12" s="552" t="s">
        <v>679</v>
      </c>
      <c r="V12" s="535"/>
      <c r="W12" s="528"/>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1" t="s">
        <v>208</v>
      </c>
      <c r="B14" s="532"/>
      <c r="C14" s="533"/>
      <c r="D14" s="122"/>
      <c r="E14" s="531" t="s">
        <v>202</v>
      </c>
      <c r="F14" s="532"/>
      <c r="G14" s="533"/>
      <c r="H14" s="122"/>
      <c r="I14" s="534" t="s">
        <v>200</v>
      </c>
      <c r="J14" s="535"/>
      <c r="K14" s="528"/>
      <c r="L14" s="122"/>
      <c r="M14" s="122"/>
      <c r="N14" s="122"/>
      <c r="O14" s="122"/>
      <c r="P14" s="101"/>
      <c r="Q14" s="101"/>
      <c r="R14" s="101"/>
      <c r="S14" s="101"/>
      <c r="T14" s="101"/>
      <c r="U14" s="101"/>
      <c r="V14" s="101"/>
      <c r="W14" s="101"/>
      <c r="X14" s="101"/>
      <c r="Y14" s="101"/>
      <c r="Z14" s="101"/>
    </row>
    <row r="15" spans="1:36" ht="51.75" customHeight="1" thickTop="1" thickBot="1">
      <c r="A15" s="536" t="s">
        <v>680</v>
      </c>
      <c r="B15" s="535"/>
      <c r="C15" s="528"/>
      <c r="D15" s="122"/>
      <c r="E15" s="536" t="s">
        <v>681</v>
      </c>
      <c r="F15" s="535"/>
      <c r="G15" s="528"/>
      <c r="H15" s="122"/>
      <c r="I15" s="537" t="s">
        <v>682</v>
      </c>
      <c r="J15" s="535"/>
      <c r="K15" s="528"/>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38" t="s">
        <v>717</v>
      </c>
      <c r="B20" s="528"/>
      <c r="C20" s="539" t="s">
        <v>718</v>
      </c>
      <c r="D20" s="122"/>
      <c r="E20" s="541" t="s">
        <v>719</v>
      </c>
      <c r="F20" s="528"/>
      <c r="G20" s="542" t="s">
        <v>720</v>
      </c>
      <c r="H20" s="122"/>
      <c r="I20" s="543" t="s">
        <v>721</v>
      </c>
      <c r="J20" s="528"/>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0"/>
      <c r="D21" s="122"/>
      <c r="E21" s="118" t="s">
        <v>725</v>
      </c>
      <c r="F21" s="118" t="s">
        <v>726</v>
      </c>
      <c r="G21" s="540"/>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27" t="s">
        <v>731</v>
      </c>
      <c r="F22" s="528"/>
      <c r="G22" s="126"/>
      <c r="H22" s="126"/>
      <c r="I22" s="529"/>
      <c r="J22" s="530"/>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45"/>
      <c r="J26" s="530"/>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4"/>
      <c r="B44" s="532"/>
      <c r="C44" s="533"/>
      <c r="D44" s="544" t="s">
        <v>200</v>
      </c>
      <c r="E44" s="532"/>
      <c r="F44" s="533"/>
      <c r="G44" s="544"/>
      <c r="H44" s="532"/>
      <c r="I44" s="533"/>
      <c r="J44" s="544"/>
      <c r="K44" s="532"/>
      <c r="L44" s="533"/>
      <c r="M44" s="544"/>
      <c r="N44" s="532"/>
      <c r="O44" s="533"/>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4"/>
      <c r="B50" s="532"/>
      <c r="C50" s="533"/>
      <c r="D50" s="544"/>
      <c r="E50" s="532"/>
      <c r="F50" s="533"/>
      <c r="G50" s="544"/>
      <c r="H50" s="532"/>
      <c r="I50" s="533"/>
      <c r="J50" s="544"/>
      <c r="K50" s="532"/>
      <c r="L50" s="533"/>
      <c r="M50" s="544" t="s">
        <v>242</v>
      </c>
      <c r="N50" s="532"/>
      <c r="O50" s="533"/>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1" t="s">
        <v>198</v>
      </c>
      <c r="B1" s="562"/>
      <c r="C1" s="563"/>
      <c r="D1" s="561" t="s">
        <v>200</v>
      </c>
      <c r="E1" s="562"/>
      <c r="F1" s="563"/>
      <c r="G1" s="561" t="s">
        <v>202</v>
      </c>
      <c r="H1" s="562"/>
      <c r="I1" s="563"/>
      <c r="J1" s="561" t="s">
        <v>240</v>
      </c>
      <c r="K1" s="562"/>
      <c r="L1" s="563"/>
      <c r="M1" s="561" t="s">
        <v>206</v>
      </c>
      <c r="N1" s="562"/>
      <c r="O1" s="563"/>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1" t="s">
        <v>239</v>
      </c>
      <c r="B7" s="562"/>
      <c r="C7" s="563"/>
      <c r="D7" s="561" t="s">
        <v>210</v>
      </c>
      <c r="E7" s="562"/>
      <c r="F7" s="563"/>
      <c r="G7" s="561" t="s">
        <v>212</v>
      </c>
      <c r="H7" s="562"/>
      <c r="I7" s="563"/>
      <c r="J7" s="561" t="s">
        <v>214</v>
      </c>
      <c r="K7" s="562"/>
      <c r="L7" s="563"/>
      <c r="M7" s="561" t="s">
        <v>242</v>
      </c>
      <c r="N7" s="562"/>
      <c r="O7" s="563"/>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2021-04-02T07:53:25Z</dcterms:modified>
  <cp:category/>
  <cp:contentStatus/>
</cp:coreProperties>
</file>