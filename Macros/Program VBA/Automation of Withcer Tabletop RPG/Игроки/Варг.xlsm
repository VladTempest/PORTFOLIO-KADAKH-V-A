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V:\DOCS\ИБМБ\GMPL\TABLETOP\WITHCHER TRPG\Игры\3 АПРЕЛЯ ХОВЛЕХМАКСМАРАНВОВ\Игроки\"/>
    </mc:Choice>
  </mc:AlternateContent>
  <xr:revisionPtr revIDLastSave="0" documentId="13_ncr:1_{F135E1AD-C5D4-42F0-A4A2-41DD6BB7D9E6}" xr6:coauthVersionLast="37" xr6:coauthVersionMax="37" xr10:uidLastSave="{00000000-0000-0000-0000-000000000000}"/>
  <bookViews>
    <workbookView xWindow="0" yWindow="0" windowWidth="20490" windowHeight="6975" xr2:uid="{EC26B290-AE00-4F1A-8BB8-8E173A4DE304}"/>
  </bookViews>
  <sheets>
    <sheet name="ЛИСТ ПЕРСОНАЖА" sheetId="1" r:id="rId1"/>
    <sheet name="Лист1" sheetId="14" r:id="rId2"/>
    <sheet name="Проф. навыки&amp;Снаряжение" sheetId="7" r:id="rId3"/>
    <sheet name="Пошаговая инструкция" sheetId="3" r:id="rId4"/>
    <sheet name="Профессия" sheetId="4" r:id="rId5"/>
    <sheet name="Раса&amp;Родина" sheetId="5" r:id="rId6"/>
    <sheet name="Имена" sheetId="12" r:id="rId7"/>
    <sheet name="Бой голыми руками" sheetId="6" r:id="rId8"/>
    <sheet name="Таблица физ параметров" sheetId="13" r:id="rId9"/>
    <sheet name="Ветки талантов всех професс" sheetId="11" r:id="rId10"/>
    <sheet name="Соц. положение" sheetId="9" r:id="rId11"/>
    <sheet name="Внешность и Ценности" sheetId="10" r:id="rId12"/>
    <sheet name="(архив)" sheetId="8" r:id="rId13"/>
  </sheets>
  <calcPr calcId="179021" iterate="1" iterateCount="5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F36" i="1" l="1"/>
  <c r="AF37" i="1"/>
  <c r="AF35" i="1"/>
  <c r="AS2" i="1" l="1"/>
  <c r="AU6" i="1" l="1"/>
  <c r="AS5" i="1"/>
  <c r="AS4" i="1"/>
  <c r="AT11" i="1"/>
  <c r="AP11" i="1"/>
  <c r="AO11" i="1"/>
  <c r="AM11" i="1"/>
  <c r="AL11" i="1"/>
  <c r="AK11" i="1"/>
  <c r="AF11" i="1"/>
  <c r="AT10" i="1"/>
  <c r="AP10" i="1"/>
  <c r="AO10" i="1"/>
  <c r="AM10" i="1"/>
  <c r="AL10" i="1"/>
  <c r="AK10" i="1"/>
  <c r="AF10" i="1"/>
  <c r="BP3" i="1" l="1"/>
  <c r="I5" i="7" l="1"/>
  <c r="H5" i="7"/>
  <c r="G5" i="7"/>
  <c r="F5" i="7"/>
  <c r="E5" i="7"/>
  <c r="D5" i="7"/>
  <c r="C5" i="7"/>
  <c r="B5" i="7"/>
  <c r="A5" i="7"/>
  <c r="J18" i="1"/>
  <c r="AS6" i="1" s="1"/>
  <c r="J23" i="1"/>
  <c r="J22" i="1"/>
  <c r="J16" i="1"/>
  <c r="J17" i="1" s="1"/>
  <c r="X7" i="1"/>
  <c r="D5" i="13"/>
  <c r="E5" i="13"/>
  <c r="D6" i="13"/>
  <c r="D7" i="13" s="1"/>
  <c r="D8" i="13" s="1"/>
  <c r="D9" i="13" s="1"/>
  <c r="D10" i="13" s="1"/>
  <c r="D11" i="13" s="1"/>
  <c r="D12" i="13" s="1"/>
  <c r="D13" i="13" s="1"/>
  <c r="D14" i="13" s="1"/>
  <c r="E6" i="13"/>
  <c r="E7" i="13" s="1"/>
  <c r="E8" i="13" s="1"/>
  <c r="E9" i="13" s="1"/>
  <c r="E10" i="13" s="1"/>
  <c r="E11" i="13" s="1"/>
  <c r="E12" i="13" s="1"/>
  <c r="E13" i="13" s="1"/>
  <c r="E14" i="13" s="1"/>
  <c r="E4" i="13"/>
  <c r="D4" i="13"/>
  <c r="C4" i="13"/>
  <c r="C5" i="13" s="1"/>
  <c r="C6" i="13" s="1"/>
  <c r="C7" i="13" s="1"/>
  <c r="C8" i="13" s="1"/>
  <c r="C9" i="13" s="1"/>
  <c r="C10" i="13" s="1"/>
  <c r="C11" i="13" s="1"/>
  <c r="C12" i="13" s="1"/>
  <c r="C13" i="13" s="1"/>
  <c r="C14" i="13" s="1"/>
  <c r="B5" i="13"/>
  <c r="B6" i="13" s="1"/>
  <c r="B7" i="13" s="1"/>
  <c r="B8" i="13" s="1"/>
  <c r="B9" i="13" s="1"/>
  <c r="B10" i="13" s="1"/>
  <c r="B11" i="13" s="1"/>
  <c r="B12" i="13" s="1"/>
  <c r="B13" i="13" s="1"/>
  <c r="B14" i="13" s="1"/>
  <c r="B4" i="13"/>
  <c r="C1" i="13"/>
  <c r="J15" i="1" s="1"/>
  <c r="F20" i="5"/>
  <c r="F21" i="5"/>
  <c r="F22" i="5"/>
  <c r="F23" i="5"/>
  <c r="F24" i="5"/>
  <c r="F25" i="5"/>
  <c r="F26" i="5"/>
  <c r="F27" i="5"/>
  <c r="F28" i="5"/>
  <c r="F29" i="5"/>
  <c r="F30" i="5"/>
  <c r="F31" i="5"/>
  <c r="F32" i="5"/>
  <c r="F33" i="5"/>
  <c r="F34" i="5"/>
  <c r="F35" i="5"/>
  <c r="F36" i="5"/>
  <c r="F37" i="5"/>
  <c r="F38" i="5"/>
  <c r="F39" i="5"/>
  <c r="F40" i="5"/>
  <c r="F41" i="5"/>
  <c r="F19" i="5"/>
  <c r="B13" i="1"/>
  <c r="B12" i="1"/>
  <c r="B11" i="1"/>
  <c r="D10" i="1"/>
  <c r="X3" i="1" l="1"/>
  <c r="Z2" i="1" s="1"/>
  <c r="J19" i="1"/>
  <c r="X5"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4" authorId="0" shapeId="0" xr:uid="{44560DA5-DC86-46E5-91B5-0C1742478691}">
      <text>
        <r>
          <rPr>
            <sz val="11"/>
            <color theme="1"/>
            <rFont val="Arial"/>
            <family val="2"/>
            <charset val="204"/>
          </rPr>
          <t>Настоящие Люди Оружия, такие как Синие
Полоски Темерии или Бригада Импера
Нильфгаарда, это крепкие солдаты, которые
никогда не сдаются. 
Когда очки здоровья
падают до или ниже 0 вы можете бросить
“Крепкий как Гвоздь”+BODY
со сложностью равной количеству
минусовых очков HP x 2 чтобы продолжать
сражаться.
Если вы провалили бросок то вы в стадии
смерти по обычным правилам.
Если вы преуспели, то вы сражаететесь на
пороге Увечья.
Любой полученный урон заставит вас
повторить бросок со сложностью равной
кол.ву ваших очков здоровья
======</t>
        </r>
      </text>
    </comment>
    <comment ref="B4" authorId="0" shapeId="0" xr:uid="{C1B94D7F-9D73-4614-BBEA-991E04B423EE}">
      <text>
        <r>
          <rPr>
            <sz val="11"/>
            <color theme="1"/>
            <rFont val="Arial"/>
            <family val="2"/>
            <charset val="204"/>
          </rPr>
          <t>Бард - это прекрасно,особенно когда у партии мало денег.
Бард может взять час и сделать бросок на Экспромт неподалеку от центра города. Значение броска - сумма денег,
которую собирает Бард, пока выступает на улице. Крит провал может снизить число денег а отрицательное значение означает, что вы не только не заработали , но также преследуетесь
местными жителями за отвратное выступление, в результате получаете -2 к харизме при взаимодействии с кем угодно в городе до конца дня.
======</t>
        </r>
      </text>
    </comment>
    <comment ref="C4" authorId="0" shapeId="0" xr:uid="{9D266ADD-1C23-4813-864B-866E603F879A}">
      <text>
        <r>
          <rPr>
            <sz val="11"/>
            <color theme="1"/>
            <rFont val="Arial"/>
            <family val="2"/>
            <charset val="204"/>
          </rPr>
          <t>опытный мастер может залатать оружие
или доспех достаточно хорошо, чтобы они
продолжали служить его носителю/владельцу
в бою, например натянуть тетеву на лук,
заточить край сломанного клинка или
прибить заплатку поверх пробитого щита.
Потравив ход на то, чтобы кинуть кубы
на Залатывание со сложностью равной
[Сложность Крафта предмета] - 3
Мастер может восстановить сломанный щит
или броню на 50% от их полной SP или
восстановить сломанное оружие до 50% их
прочности. Пока не будет починено в кузнице
залатанное оружие наносит половину своего
нормального урона.
======</t>
        </r>
      </text>
    </comment>
    <comment ref="D4" authorId="0" shapeId="0" xr:uid="{FD33CAE0-1753-45E3-ADAD-3EDEA74CAE1F}">
      <text>
        <r>
          <rPr>
            <sz val="11"/>
            <color theme="1"/>
            <rFont val="Arial"/>
            <family val="2"/>
            <charset val="204"/>
          </rPr>
          <t>Будь то наемный убийца, вор, фальшивомонетчик или контрабандист, все преступники имеют привычную паранойю, которая удерживает их от неприятностей. 
Всякий раз, когда преступник находится в пределах 10м от ловушки (это включает в себя экспериментальные ловушки,мины Человека Оружия и засады), они немедленно могут сделать бросок на Параною против сложности маскировки ловушки или сложности заданной ГМом 
Даже если им не удается обнаружить ловушку, они все равно осознают, что что-то не так.
======</t>
        </r>
      </text>
    </comment>
    <comment ref="E4" authorId="0" shapeId="0" xr:uid="{FC4D5B29-2C9C-46BA-834F-B9EC32FBC6AA}">
      <text>
        <r>
          <rPr>
            <sz val="11"/>
            <color theme="1"/>
            <rFont val="Arial"/>
            <family val="2"/>
            <charset val="204"/>
          </rPr>
          <t>Любой желающий может нанести немного мази и обернуть повязку вокруг пореза, но у врача есть настоящая медицинская подготовка, которая позволяет ему выполнять сложные операции.
Врач с исцеляющими руками-это единственный человек, который может исцелить критическую рану. Чтобы залечить критические раны, врач должен сделать несколько успешных бросков исцеления рук, основанных на тяжести критической раны. Сл. броска также зависит от тяжести критической раны. Лечашие руки также могут быть использованы вместо любой проверки Первой Помощи
======</t>
        </r>
      </text>
    </comment>
    <comment ref="F4" authorId="0" shapeId="0" xr:uid="{B910BE0C-6C12-49F8-9B63-913DE023F9BA}">
      <text>
        <r>
          <rPr>
            <sz val="11"/>
            <color theme="1"/>
            <rFont val="Arial"/>
            <family val="2"/>
            <charset val="204"/>
          </rPr>
          <t>Средней руки торговец зарабатывает на жизнь торговлей, и эта торговля привлекает клиентов со всех сторон. Но бродячий торговец идет к своим покупателям, бродит по дорогам мира и учится у людей.
Торговец может сделать проверку "Много Повидавщий" в любое время, когда он хочет узнать факт о конкретном предмете, культуре или области. Сложность задаётся ГМом, если проверка успешна - торговец запоминает ответ на этот вопрос, вызывая воспоминания о последнем путешествии через соответствующую область.
======</t>
        </r>
      </text>
    </comment>
    <comment ref="G4" authorId="0" shapeId="0" xr:uid="{20B4D92B-C109-4024-B2F8-F578B8B8C8D6}">
      <text>
        <r>
          <rPr>
            <sz val="11"/>
            <color theme="1"/>
            <rFont val="Arial"/>
            <family val="2"/>
            <charset val="204"/>
          </rPr>
          <t>Чтобы стать магом, человек, обладающий магическим даром, должен пройти через залы одной из мировых магических академий и изучить основы магических искусств.
 Маг может кинуть на магическое обучение всякий раз, когда они сталкиваются с магическим явлением, неизвестным заклинанием или вопросом магической теории. DC устанавливается ГМ, и успех позволяет магу узнать все, что нужно знать об этом явлении.
Магическое обучение можно также использовать как форму осознания, которая обнаруживает магические существа, заклинания и сглазы
======</t>
        </r>
      </text>
    </comment>
    <comment ref="H4" authorId="0" shapeId="0" xr:uid="{853A417A-1EBE-4DDE-8089-A0A87C780AD3}">
      <text>
        <r>
          <rPr>
            <sz val="11"/>
            <color theme="1"/>
            <rFont val="Arial"/>
            <family val="2"/>
            <charset val="204"/>
          </rPr>
          <t>Церкви мира часто являются теплыми и гостеприимными местами, помогая своим общинам и приветствуя новообращенных.
Священник может кинуть на посвященного богам со сложностью, установленной ГМ в церквях той же веры, чтобы получить бесплатное жилье, исцеление и другие услуги по усмотрению ГМ. 
Посв.богов также работает, когда вы имеете дело с приверженцами вашей веры, хотя они, вероятно, смогут предложить меньше, чем полностью обеспеченная церковь. Имейте в виду, что этот навык  не работает с представителями других религий.
======</t>
        </r>
      </text>
    </comment>
    <comment ref="I4" authorId="0" shapeId="0" xr:uid="{6BB582EB-765B-4C3C-86F3-737A58C5B602}">
      <text>
        <r>
          <rPr>
            <sz val="11"/>
            <color theme="1"/>
            <rFont val="Arial"/>
            <family val="2"/>
            <charset val="204"/>
          </rPr>
          <t>Большая часть ранней жизни Ведьмака проходит в стенах его замка, изучая огромные пыльные тома и проходя адскую боевую подготовку. Многие утверждали, что самое большое оружие ведьмака-это его знание монстров и способность приспосабливаться к любой ситуации.
 Когда ведьмак находится во враждебной среде или труднодоступной местности, он может уменьшить штрафные санкции на половину своего значения Тренировки Ведьмака (минимум 1).
 Ведьмачья Тренировка  также может быть использовано в любой ситуации, для которой вы обычно используете Знания о Монстрах
======</t>
        </r>
      </text>
    </comment>
    <comment ref="J4" authorId="0" shapeId="0" xr:uid="{7BDC8691-F294-4F84-8A21-4C972D568CA9}">
      <text>
        <r>
          <rPr>
            <sz val="11"/>
            <color theme="1"/>
            <rFont val="Arial"/>
            <family val="2"/>
            <charset val="204"/>
          </rPr>
          <t>Благородство, будь то добытое благородными делами или дарованное рождением, дарует человеку величие, которое должно быть признано. Крестьяне могут проклинать имя дворянина и насмехаться над
ним в безопасности своих лачуг, но большинство из них не смеет оскорблять дворянина в лицо.
Дворянин добавляет свою Известность к своей репутации, когда он находится в своей родной стране или в стране, союзной с его родиной. Если
дворянин едет в королевство или территорию, которые активно воюют с его родиной или нейтральны по отношению к ней, он получает
только половину своего значения Известности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FFBC1CA5-5E49-42F1-95B4-BE8BE9DBDE21}">
      <text>
        <r>
          <rPr>
            <sz val="10"/>
            <color rgb="FF000000"/>
            <rFont val="Arial"/>
            <family val="2"/>
            <charset val="204"/>
          </rPr>
          <t>Большинство ведьмаков проводят детство и юность в крепости, корпя над пыльными томами и проходя чудовищные боевые тренировки. Многие говорят, что главное оружие ведьмака - это знание о чудовищах и умение найти выход из любой ситуации. Находясь в опасной среде или пересечённой местности, ведьмак может снизить соответствующие штрафы на половину значения своего навыка Подготовка Ведьмака(минимум 1). Подготовка Ведьмака также можно использовать в любой ситуации, где понадобился бы навык Монстрология.</t>
        </r>
      </text>
    </comment>
    <comment ref="E2" authorId="0" shapeId="0" xr:uid="{74AAABC0-68C3-48C5-8130-24C59C15187F}">
      <text>
        <r>
          <rPr>
            <sz val="10"/>
            <color rgb="FF000000"/>
            <rFont val="Arial"/>
            <family val="2"/>
            <charset val="204"/>
          </rPr>
          <t>В большинстве церквей мира посетителям. Служители храмов помогают местным жителям и с радость принимают новообращённых в свою веру. Жрец может совершить проверку навыка Посвящённый (СЛ определяет ведущий)  в храме своей религии, чтобы получить бесплатный кров, исцеление и прочие услуги на усмотрение ведущего. Навык Посвящённый также можно использовать при обращении с единоверцами, но получите вы куда меньше, чем в церкви. Посвящённый не действует при общении с теми, кто исповедуют другую веру.</t>
        </r>
      </text>
    </comment>
    <comment ref="I2" authorId="0" shapeId="0" xr:uid="{52957F9F-E14F-4404-9088-81480AB677C8}">
      <text>
        <r>
          <rPr>
            <sz val="10"/>
            <color rgb="FF000000"/>
            <rFont val="Arial"/>
            <family val="2"/>
            <charset val="204"/>
          </rPr>
          <t>Бард весьма полезен в группе, особенно когда у вас не хватает денег. Барт может потратить час времени и совершить проверку Уличного выступления в центре ближайшего города. Результат броска - это сумма, которую бард заработал за время уличного выступления. Критический провал может снизить результат броска. Отрицательный результат означает, что бард не только не заработал денег, но и был освистан местными, что даёт ему штраф -2 к Харизме при контакте со всеми в этом городе на остаток дня.</t>
        </r>
      </text>
    </comment>
    <comment ref="M2" authorId="0" shapeId="0" xr:uid="{076534EC-B7E8-4FBB-BE59-333729E8E916}">
      <text>
        <r>
          <rPr>
            <sz val="10"/>
            <color rgb="FF000000"/>
            <rFont val="Arial"/>
            <family val="2"/>
            <charset val="204"/>
          </rPr>
          <t>Обычный торговец зарабатывает на жизнь тем, что продаёт товар приходящим к нему покупателям. Странствующий же торговец сам приходит к покупателю. Он ездит по миру и узнаёт обо всём, что там происходит. Торговец может в любой момент по своему желанию совершить проверку навыка Бывалый путешественник, чтобы узнать один факт об определённом предмете, культуре или области. СЛ проверки определяет ведущий. При успехе торговец получат ответ на вопрос, вспомнив те времена, когда он в прошлый раз был в этом месте.</t>
        </r>
      </text>
    </comment>
    <comment ref="Q2" authorId="0" shapeId="0" xr:uid="{D989E84C-B79D-4037-8811-24A36E48F4AB}">
      <text>
        <r>
          <rPr>
            <sz val="10"/>
            <color rgb="FF000000"/>
            <rFont val="Arial"/>
            <family val="2"/>
            <charset val="204"/>
          </rPr>
          <t>Для того чтобы стать полноправным магом, способный к магии адепт должен пройти обучение в одной из магических академий. Маг может совершить проверку Магических Познаний, если ему попадётся магический феномен, если он увидит незнакомое заклинание или захочет узнать ответ на какой-то теоретический вопрос. СЛ проверки определяется ведущим. При успехе маг узнаёт всё, что касается данного магического феномена. Проверка Магического Познания также может заменить проверку Внимания для обнаружения использования магии и духов.</t>
        </r>
      </text>
    </comment>
    <comment ref="U2" authorId="0" shapeId="0" xr:uid="{A34F6065-7C4A-4174-927E-6E480E252BEA}">
      <text>
        <r>
          <rPr>
            <sz val="10"/>
            <color rgb="FF000000"/>
            <rFont val="Arial"/>
            <family val="2"/>
            <charset val="204"/>
          </rPr>
          <t>Кто угодно может перевязать рану, но только у медика достаточно знаний, чтобы проводить сложные хирургические операции. Медик с навыком лечащее прикосновение - единственный, кто способен вылечить критическое ранение. Для исцеления критического ранения медик должен успешно совершить несколько проверок Лечащее Прикосновение - число их зависит от серьёзности критического ранения. Помимо этого, Лечащее Прикосновение можно использовать вместо проверки Первой Помощи.</t>
        </r>
      </text>
    </comment>
    <comment ref="Y2" authorId="0" shapeId="0" xr:uid="{27F37043-2B42-467C-BB44-453364D2E38E}">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AC2" authorId="0" shapeId="0" xr:uid="{1B398D7B-6A1A-4626-8873-D9500F754B8F}">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AG2" authorId="0" shapeId="0" xr:uid="{2D8FFA85-EE34-4F66-9C48-22BF19C9DF1C}">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4" authorId="0" shapeId="0" xr:uid="{5015647E-A468-4786-8B89-0496DEAAEC51}">
      <text>
        <r>
          <rPr>
            <sz val="10"/>
            <color rgb="FF000000"/>
            <rFont val="Arial"/>
            <family val="2"/>
            <charset val="204"/>
          </rPr>
          <t>Ведьмак может войти в медитативный транс, что позволяет ему получить все преимущества сна, но при этом сохранять бдительность. Во время медитации ведьмак считается находящимся в сознании для того, чтобы заметить что-либо в радиусе в метрах, равном удвоенному значению его Медитации.</t>
        </r>
      </text>
    </comment>
    <comment ref="B4" authorId="0" shapeId="0" xr:uid="{2FE53E9E-9849-4921-9548-A13046FE7735}">
      <text>
        <r>
          <rPr>
            <sz val="10"/>
            <color rgb="FF000000"/>
            <rFont val="Arial"/>
            <family val="2"/>
            <charset val="204"/>
          </rPr>
          <t>За годы употребления ядовитых ведьмачьих эликсиров ведьмаки привыкают к токсинам. Ведьмак может выдержать отвары и эликсиры суммарной токсичностью на 5% больше за каждые 2 очка, вложенные в способность Крепкий желудок. Эта способность развивается аналогично прочим навыкам. На 10 уровне максимальная токсичность для ведьмака равна 150%.</t>
        </r>
      </text>
    </comment>
    <comment ref="C4" authorId="0" shapeId="0" xr:uid="{AC566EAB-8CDA-4FCD-A7F0-6838079222D2}">
      <text>
        <r>
          <rPr>
            <sz val="10"/>
            <color rgb="FF000000"/>
            <rFont val="Arial"/>
            <family val="2"/>
            <charset val="204"/>
          </rPr>
          <t>Ведьмак может совершить проверку этой способности со штрафом -3, чтобы отбить летящий физический снаряд. При отбивании ведьмак может выбрать цель в пределах 10 метров. Эта цель должна совершить действие защиты против броска Отбивания стрел ведьмака, или она будет ошеломлена из-за попадания отбитого снаряда.</t>
        </r>
      </text>
    </comment>
    <comment ref="E4" authorId="0" shapeId="0" xr:uid="{876FB450-DC57-4AFC-AE5F-454E541375C5}">
      <text>
        <r>
          <rPr>
            <sz val="10"/>
            <color rgb="FF000000"/>
            <rFont val="Arial"/>
            <family val="2"/>
            <charset val="204"/>
          </rPr>
          <t>Укрепляя связь с божеством, жрец может повысить своё значение Энергии на 1 за каждый уровень Божественный силы.  Таким образом, значение Энергии жреца на 10 уровень будет равно 12. Эта способность развивается и суммируется с Единением с природой. Значение Энергии в этом случае общее.</t>
        </r>
      </text>
    </comment>
    <comment ref="F4" authorId="0" shapeId="0" xr:uid="{EF827599-3AA9-4B98-B591-ECC5C968A67E}">
      <text>
        <r>
          <rPr>
            <sz val="10"/>
            <color rgb="FF000000"/>
            <rFont val="Arial"/>
            <family val="2"/>
            <charset val="204"/>
          </rPr>
          <t>Укрепляя связь с природой, жрец может повысить своё значение Энергии на 1 за каждый уровень Единения с природой. Таким образом, значение Энергии жреца на 10 уровень будет равно 12. Эта способность развивается аналогично прочим навыкам и суммируется с Божественной силой. Значение Энергии в этом случае общее.</t>
        </r>
      </text>
    </comment>
    <comment ref="G4" authorId="0" shapeId="0" xr:uid="{6D739251-0721-4894-8085-892B3202DAB0}">
      <text>
        <r>
          <rPr>
            <sz val="10"/>
            <color rgb="FF000000"/>
            <rFont val="Arial"/>
            <family val="2"/>
            <charset val="204"/>
          </rPr>
          <t>Проводя ритуал, жрец может совершить проверку способности Кровавые ритуалы со СЛ, равной СЛ ритуала. При успехе жрец проводит ритуал без необходимых алхимических субстанций, жертвуя при в этом 5 ПЗ в виде крови за каждую недостающую субстанцию. Это может быть и чужая кровь, но только пролитая во время данного ритуала.</t>
        </r>
      </text>
    </comment>
    <comment ref="I4" authorId="0" shapeId="0" xr:uid="{657E92B7-F5F2-4948-8CBE-2081A932FF98}">
      <text>
        <r>
          <rPr>
            <sz val="10"/>
            <color rgb="FF000000"/>
            <rFont val="Arial"/>
            <family val="2"/>
            <charset val="204"/>
          </rPr>
          <t>Перед проверкой Уличного выступлением бард может  проверку Повторного выступления со СЛ, установленной ведущим, чтобы определить, выступал ли он в этом городе раньше. При успехе бард уже завоевал популярность в этом городе. В таком случае доход с его Уличного выступления удваивается,  а сам бард получает бонус +2 к Харизме при общении со всеми, кто пришёл на выступление.</t>
        </r>
      </text>
    </comment>
    <comment ref="J4" authorId="0" shapeId="0" xr:uid="{D7CCCB8D-B54C-4977-A0E1-E686ACA1CC9C}">
      <text>
        <r>
          <rPr>
            <sz val="10"/>
            <color rgb="FF000000"/>
            <rFont val="Arial"/>
            <family val="2"/>
            <charset val="204"/>
          </rPr>
          <t>Бард может совершить проверку Незаметность против Внимания нескольких целей, чтобы слиться с толпой. Эта способность позволяет барду прятаться даже там, где нет подходящих укрытий, - бард попросту вклинивается в разговор, переключает внимания окружающих на другой предмет и тому подобное. Эта способность не работает в том случае, если бард одет во что-то очень броское.</t>
        </r>
      </text>
    </comment>
    <comment ref="K4" authorId="0" shapeId="0" xr:uid="{CE4A3528-940A-46E6-ACB0-183CB8EB0A0E}">
      <text>
        <r>
          <rPr>
            <sz val="10"/>
            <color rgb="FF000000"/>
            <rFont val="Arial"/>
            <family val="2"/>
            <charset val="204"/>
          </rPr>
          <t>Когда бард пытается повлиять на одного или нескольких собеседников, он может совершить проверку Коварства против Эмп х 3 цели. При успехе бард делает ехидное замечание, которое даёт штраф -1 к Соблазнению, Убеждению, Лидерству, Запугиванию или Харизме цели за каждый пункт свыше СЛ.</t>
        </r>
      </text>
    </comment>
    <comment ref="M4" authorId="0" shapeId="0" xr:uid="{E870FF5A-086C-40D8-B493-97D6931DC9D1}">
      <text>
        <r>
          <rPr>
            <sz val="10"/>
            <color rgb="FF000000"/>
            <rFont val="Arial"/>
            <family val="2"/>
            <charset val="204"/>
          </rPr>
          <t xml:space="preserve">Торговец может совершить проверку Рынка с определяемой ведущим СЛ, чтобы найти нужный предмет по более низкой цене. При успехе торговец находит того, кто продаст ему тот же предмет за полцены. Чем более редкий предмет, тем выше СЛ поиска. Рынок не действует на экспериментальные, ведьмачьи предметы и реликвии. </t>
        </r>
      </text>
    </comment>
    <comment ref="N4" authorId="0" shapeId="0" xr:uid="{13E97C18-B2F2-406C-B4BE-6E672288E79A}">
      <text>
        <r>
          <rPr>
            <sz val="10"/>
            <color rgb="FF000000"/>
            <rFont val="Arial"/>
            <family val="2"/>
            <charset val="204"/>
          </rPr>
          <t>Торговец может совершить проверку способности Трущобы со СЛ в зависимости от размера поселения, чтобы заручиться помощью 1 беспризорника или бездомного за каждый пункт свыше СЛ (максимум 10). Торговец может спросить у них совета и получить бонус +1 к проверкам Ориентирования в городе за каждого. Информаторы берут плату в 1 крон за каждого, когда с ними советуются.</t>
        </r>
      </text>
    </comment>
    <comment ref="O4" authorId="0" shapeId="0" xr:uid="{F9D82A8B-3ECA-4AAB-89EE-97BEBB3D8D0F}">
      <text>
        <r>
          <rPr>
            <sz val="10"/>
            <color rgb="FF000000"/>
            <rFont val="Arial"/>
            <family val="2"/>
            <charset val="204"/>
          </rPr>
          <t>Входя в поселение впервые,торговец может потратить час на распространение вести о своём прибытии, а затем совершить проверку Хороших связей со СЛ в зависимости от размера поселения. При успехе репутация торговца в этом поселении на 1d6 недель увеличивается на значение проверки свыше указанной СЛ, делённое на 2 (минимум 1).</t>
        </r>
      </text>
    </comment>
    <comment ref="Q4" authorId="0" shapeId="0" xr:uid="{1E3BB9D0-0673-4208-8DD5-3DF0E10CA0CB}">
      <text>
        <r>
          <rPr>
            <sz val="10"/>
            <color rgb="FF000000"/>
            <rFont val="Arial"/>
            <family val="2"/>
            <charset val="204"/>
          </rPr>
          <t>Маг может совершить проверку способности Строить козни со СЛ, равной Инт x3 цели. При успехе маг получает +3 к Обману, Соблазнению, Запугиванию и Убеждению против этой цели благодаря знаниям о её сильных и слабых сторонах. Бонус действует количество дней, равное значению способности Строить козни.</t>
        </r>
      </text>
    </comment>
    <comment ref="R4" authorId="0" shapeId="0" xr:uid="{BEA8BA61-1CE3-4063-85F5-2FE9E8732A8C}">
      <text>
        <r>
          <rPr>
            <sz val="10"/>
            <color rgb="FF000000"/>
            <rFont val="Arial"/>
            <family val="2"/>
            <charset val="204"/>
          </rPr>
          <t>Потратив час на изучение алхимического состава, маг может совершить проверку Анализа со СЛ, равной СЛ изготовления этого алхимического состава +3. При успехе маг выводит и записывает формулу этого состава. СЛ создания предмета по воссозданной формуле на 3 пункта выше, но в итоге маг получает желаемый предмет.</t>
        </r>
      </text>
    </comment>
    <comment ref="S4" authorId="0" shapeId="0" xr:uid="{3CEE7B6F-4EEC-459F-B122-13531E7787E1}">
      <text>
        <r>
          <rPr>
            <sz val="10"/>
            <color rgb="FF000000"/>
            <rFont val="Arial"/>
            <family val="2"/>
            <charset val="204"/>
          </rPr>
          <t>По мере того как маг всё больше использует магию, его тело постепенно привыкает к течению магической энергии. Каждое очко, вложенное в способность Укрепление связи, повышает  значение Энергии мага на 2. Когда эта способность достигает 10 уровня, максимальное значение Энергии мага равно 25. Эта способность развивается аналогично прочим навыкам.</t>
        </r>
      </text>
    </comment>
    <comment ref="U4" authorId="0" shapeId="0" xr:uid="{9AC8E575-572C-44B6-A8B4-C2DB6EA9DDC6}">
      <text>
        <r>
          <rPr>
            <sz val="10"/>
            <color rgb="FF000000"/>
            <rFont val="Arial"/>
            <family val="2"/>
            <charset val="204"/>
          </rPr>
          <t>При возможности осмотреть раненое существо медик может совершить проверку Диагноза со СЛ, определяемой ведущим. При успехе он обнаруживает все критические ранения цели и узнаёт, сколько пунктов здоровья у него осталось. Это также даёт бонус +2 ко всем проверкам Лечащего прикосновения для лечения этих ран.</t>
        </r>
      </text>
    </comment>
    <comment ref="V4" authorId="0" shapeId="0" xr:uid="{5C51F491-2C13-4699-8BA0-901437FCB1AB}">
      <text>
        <r>
          <rPr>
            <sz val="10"/>
            <color rgb="FF000000"/>
            <rFont val="Arial"/>
            <family val="2"/>
            <charset val="204"/>
          </rPr>
          <t>Палатка лекаря позволяет совершить проверку со СЛ, определяемой ведущим, чтобы создать укрытие с оптимальными условиями для лечения. Это требует 1 часа, но добавляет бонус +3 к совершённым внутри проверкам Лечащего прикосновения/Первой помощи и +2 к скорости исцеления любого, кто находится в палатке, на количество дней, равное значению Палатки лекаря.</t>
        </r>
      </text>
    </comment>
    <comment ref="W4" authorId="0" shapeId="0" xr:uid="{3823DC64-4619-44A3-8D5A-F5B99BFF25EF}">
      <text>
        <r>
          <rPr>
            <sz val="10"/>
            <color rgb="FF000000"/>
            <rFont val="Arial"/>
            <family val="2"/>
            <charset val="204"/>
          </rPr>
          <t>Нанося урон клинковым оружием, медик может совершить проверку способности Кровавая рана со СЛ 15. При успехе после этой атаки цель начинает истекать кровью со скоростью 1 урон за каждые 2 пункта свыше установленной СЛ за раунд. Кровотечение можно остановить только проверкой Первой помощи со СЛ, равной результату проверки Кровавой раны.</t>
        </r>
      </text>
    </comment>
    <comment ref="Y4" authorId="0" shapeId="0" xr:uid="{46412E59-9B8D-4C20-B0CC-75B86457BA4B}">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Z4" authorId="0" shapeId="0" xr:uid="{4F43240E-D0F3-4F9F-B725-8DD7531D218D}">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AA4" authorId="0" shapeId="0" xr:uid="{BEC02398-40BD-4206-85E7-E530EA42EA68}">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AC4" authorId="0" shapeId="0" xr:uid="{CCDBB7ED-D6F0-4107-A993-6FED5B22E525}">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AD4" authorId="0" shapeId="0" xr:uid="{E73E6AC7-8E87-4052-86A4-8ED251AC76EE}">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AE4" authorId="0" shapeId="0" xr:uid="{4771B958-16A6-4F7E-9D6D-8C6E486ABC51}">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AG4" authorId="0" shapeId="0" xr:uid="{B811D58C-7DCA-4710-9C31-3A73D7A5EB35}">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AH4" authorId="0" shapeId="0" xr:uid="{F3F65BB5-5A22-4AC6-9189-B9236E1E079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AI4" authorId="0" shapeId="0" xr:uid="{141D16C3-2611-4902-98B0-9595767C929C}">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5" authorId="0" shapeId="0" xr:uid="{E237EC96-BCEF-40F4-B325-57DA686B6815}">
      <text>
        <r>
          <rPr>
            <sz val="10"/>
            <color rgb="FF000000"/>
            <rFont val="Arial"/>
            <family val="2"/>
            <charset val="204"/>
          </rPr>
          <t>По мере того как ведьмак все больше использует знаки, его тело постепенно привыкает к течению магической энергии. Каждые 2 очка, вложенные в способность Магический источник, повышают значение Энергии ведьмака на 1. Когда эта способность достигает 10 уровня, максимальное значение энергии ведьмака становится равно 7. Эта способность развивается аналогично прочим навыкам.</t>
        </r>
      </text>
    </comment>
    <comment ref="B5" authorId="0" shapeId="0" xr:uid="{A6808A11-CDA6-407D-A1BB-AC33A5653264}">
      <text>
        <r>
          <rPr>
            <sz val="10"/>
            <color rgb="FF000000"/>
            <rFont val="Arial"/>
            <family val="2"/>
            <charset val="204"/>
          </rPr>
          <t>Будучи отравленным, ведьмак впадает в ярость и наносит дополнительно 1 урон в ближнем бою за каждый уровень Ярости. В этом состоянии единственная цель Ведьмака - добраться до безопасного места или убить отравителя. Действие Ярости заканчивается одновременно с действием яда. Ведьмак может попытаться от Ярости раньше, совершив проверку Стойкости со СЛ 15.</t>
        </r>
      </text>
    </comment>
    <comment ref="C5" authorId="0" shapeId="0" xr:uid="{A03C6F04-EE83-49DA-A21B-33BF6D6D9299}">
      <text>
        <r>
          <rPr>
            <sz val="10"/>
            <color rgb="FF000000"/>
            <rFont val="Arial"/>
            <family val="2"/>
            <charset val="204"/>
          </rPr>
          <t>Закончив свой ход, ведьмак может потратить 5 очков Выносливости и совершить проверку Быстрого Удара со СЛ, равной Реа противника x3. При успехе ведьмак совершает еще одну атаку в этот раунд против этого противника, которая может включать в себя разоружение, подсечку и прочие атаки.</t>
        </r>
      </text>
    </comment>
    <comment ref="E5" authorId="0" shapeId="0" xr:uid="{009B5DFD-B61C-4A43-A696-1106E7635497}">
      <text>
        <r>
          <rPr>
            <sz val="10"/>
            <color rgb="FF000000"/>
            <rFont val="Arial"/>
            <family val="2"/>
            <charset val="204"/>
          </rPr>
          <t>Для крестьян и простого люда жрецы - проводники воли богов. Жрец может добавить значение Божественного авторитета к своим проверкам Лидерства, если он находится в области, где исповедуют ту же религию. Если жрец находится за пределами такой области, то он добавляет половину значения способности.</t>
        </r>
      </text>
    </comment>
    <comment ref="F5" authorId="0" shapeId="0" xr:uid="{8CA88C73-B6B8-466D-A388-81129EE37C50}">
      <text>
        <r>
          <rPr>
            <sz val="10"/>
            <color rgb="FF000000"/>
            <rFont val="Arial"/>
            <family val="2"/>
            <charset val="204"/>
          </rPr>
          <t xml:space="preserve">Находясь среди природы, друид может совершить проверку способности Знаки природы со СЛ, определяемой ведущим. При успехе друид по знакам узнаёт, кто в этом месте был и что делал.  Эта проверка даёт только локальную информацию и не позволяет выслеживать. </t>
        </r>
      </text>
    </comment>
    <comment ref="G5" authorId="0" shapeId="0" xr:uid="{59CF15C0-99DC-4444-9BFE-462170DCA7F0}">
      <text>
        <r>
          <rPr>
            <sz val="10"/>
            <color rgb="FF000000"/>
            <rFont val="Arial"/>
            <family val="2"/>
            <charset val="204"/>
          </rPr>
          <t>Жрец может совершить проверку Рвения против текущего значения Инт х 3 цели. При успехе слова жреца ободряют цель, что даёт ей 1d6 временных ПЗ за каждый пункт сверх СЛ (максимум 5). Этот эффект длится количество раундов, равное значению Рвения х2, и на одну цель его можно использовать только раз в день.</t>
        </r>
      </text>
    </comment>
    <comment ref="I5" authorId="0" shapeId="0" xr:uid="{19225156-B378-4E91-BC05-5F165F85B870}">
      <text>
        <r>
          <rPr>
            <sz val="10"/>
            <color rgb="FF000000"/>
            <rFont val="Arial"/>
            <family val="2"/>
            <charset val="204"/>
          </rPr>
          <t>Выступая в течение полного раунда, вы можете совершить проверку способностей Заворожить публику, чтобы привлечь внимание всех в радиусе 20 метров. Любой персонаж,чей результат проверки Сопротивления убеждению будет ниже вашего изначального, может только стоять и наблюдать, пока не выбросит более высокий результат. Атакованные цели автоматически перестают быть заворожёнными.</t>
        </r>
      </text>
    </comment>
    <comment ref="J5" authorId="0" shapeId="0" xr:uid="{2220FD92-38D4-4355-B4FC-BBDF30F29190}">
      <text>
        <r>
          <rPr>
            <sz val="10"/>
            <color rgb="FF000000"/>
            <rFont val="Arial"/>
            <family val="2"/>
            <charset val="204"/>
          </rPr>
          <t>После успешного броска Обмана против цели бард может совершить встречный бросок способности. Пустить слух против Сопротивления убеждению цели. При успехе барда цель распространяет рассказанную им ложь в своём поселении или группе, что даёт барду бонус +2 к Обману при попытке рассказать ту же ложь кому-то ещё.</t>
        </r>
      </text>
    </comment>
    <comment ref="K5" authorId="0" shapeId="0" xr:uid="{63CA9507-5EBF-4329-A188-D605973A8244}">
      <text>
        <r>
          <rPr>
            <sz val="10"/>
            <color rgb="FF000000"/>
            <rFont val="Arial"/>
            <family val="2"/>
            <charset val="204"/>
          </rPr>
          <t>Бард может совершить встречную проверку способности Подколка против Сопротивления убеждению цели. При успехе бард дразнит цель, осыпает её угрозами и ругательствами до тех пор, пока цель не нападёт. Цель получает штраф к атаке и защите, равный половине значения Подколки барда и длящийся количество раундов, равное значению способности Подколка.</t>
        </r>
      </text>
    </comment>
    <comment ref="M5" authorId="0" shapeId="0" xr:uid="{11D09D04-A14A-4906-BE93-C21D2A9EB223}">
      <text>
        <r>
          <rPr>
            <sz val="10"/>
            <color rgb="FF000000"/>
            <rFont val="Arial"/>
            <family val="2"/>
            <charset val="204"/>
          </rPr>
          <t>Совершая подкуп,торговец может совершить проверку способности Нечестная сделка со СЛ, равной Воле х 3 цели. При успехе торговец даёт взятку любым предметом, который у него есть и который стоит не менее 5 крон. Взятка всегда даёт +3 к Убеждению. Если взятка совсем уж несуразная, СЛ увеличивается на 5.</t>
        </r>
      </text>
    </comment>
    <comment ref="N5" authorId="0" shapeId="0" xr:uid="{0CFF64C9-4EED-4B12-9E98-70E34F8E5022}">
      <text>
        <r>
          <rPr>
            <sz val="10"/>
            <color rgb="FF000000"/>
            <rFont val="Arial"/>
            <family val="2"/>
            <charset val="204"/>
          </rPr>
          <t>Торговец со способностью Свой человек может убедить другого персонажа пошпионить за него. Заплатите 10 крон и совершите встречную проверку Своего человека против Сопротивления убеждению цели. При успехе персонаж будет шпионить для торговца количество дней,равное значению способностей Свой человек. По истечении этого срока торговец может снова совершить проверку, опять же заплатив.</t>
        </r>
      </text>
    </comment>
    <comment ref="O5" authorId="0" shapeId="0" xr:uid="{BEAFB6F2-C41B-4862-A7D0-556EBFCFF77B}">
      <text>
        <r>
          <rPr>
            <sz val="10"/>
            <color rgb="FF000000"/>
            <rFont val="Arial"/>
            <family val="2"/>
            <charset val="204"/>
          </rPr>
          <t>Торговец, которому необходимо избавиться от предмета с сомнительным происхождением или краденого, может совершить проверку способности Сбытчик со СЛ, определяемой ведущим. При успехе торговец продаёт предмет по полной рыночной цене покупателю, который не станет сдавать лишних вопросов и не сдаст торговца страже.</t>
        </r>
      </text>
    </comment>
    <comment ref="Q5" authorId="0" shapeId="0" xr:uid="{F18CC796-2E6C-4E4D-971F-1F7CABB086CB}">
      <text>
        <r>
          <rPr>
            <sz val="10"/>
            <color rgb="FF000000"/>
            <rFont val="Arial"/>
            <family val="2"/>
            <charset val="204"/>
          </rPr>
          <t xml:space="preserve">Потратив час времени, маг может совершить проверку Сплетен против Эмп x3 цели. При успехе маг успешно распускает слухи о цели по своему поселению, что снижает репутацию цели на половину значения Сплетен мага на количество дней, равное значению этой способности.  </t>
        </r>
      </text>
    </comment>
    <comment ref="R5" authorId="0" shapeId="0" xr:uid="{1830F18E-4D7A-40F7-891E-D3CD8E0F43D9}">
      <text>
        <r>
          <rPr>
            <sz val="10"/>
            <color rgb="FF000000"/>
            <rFont val="Arial"/>
            <family val="2"/>
            <charset val="204"/>
          </rPr>
          <t>Маг может совершить проверку Дисталляции вместо Алхимии при изготовлении алхимического состава. При успехе маг создает порцию состава, действующую в полтора раза эффективней обычной порции - это относится к длительности, урону или СЛ сопротивления на выбор мага. Округление эффектов всегда идёт вниз.</t>
        </r>
      </text>
    </comment>
    <comment ref="S5" authorId="0" shapeId="0" xr:uid="{56C1998A-AEBD-4810-9355-CECEA45DBAB0}">
      <text>
        <r>
          <rPr>
            <sz val="10"/>
            <color rgb="FF000000"/>
            <rFont val="Arial"/>
            <family val="2"/>
            <charset val="204"/>
          </rPr>
          <t xml:space="preserve">Маг может совершить проверку Устойчивости к двимериту со СЛ 16 в любой момент, когда на него обычно может воздействовать двимерит. При успехе маг способен противостоять эффекту двимерита: у него кружится голова и он испытывает дискомфорт, но сохраняет половину Энергии и способность сотворять заклинания. </t>
        </r>
      </text>
    </comment>
    <comment ref="U5" authorId="0" shapeId="0" xr:uid="{96F5CF24-2306-417A-82F6-DABEC063E350}">
      <text>
        <r>
          <rPr>
            <sz val="10"/>
            <color rgb="FF000000"/>
            <rFont val="Arial"/>
            <family val="2"/>
            <charset val="204"/>
          </rPr>
          <t>Перед проверкой Лечащего прикосновения медик может потратить ход и совершить проверку Осмотра со СЛ, зависящей от серьёзности критического ранения. При успехе медик понимает природу ранения и за каждые 2 пункта проверки  свыше СЛ (минимум 1) хирургическая операция займёт на 1 ход меньше.</t>
        </r>
      </text>
    </comment>
    <comment ref="V5" authorId="0" shapeId="0" xr:uid="{CE829A49-5F66-49FD-8996-C3B41421F68C}">
      <text>
        <r>
          <rPr>
            <sz val="10"/>
            <color rgb="FF000000"/>
            <rFont val="Arial"/>
            <family val="2"/>
            <charset val="204"/>
          </rPr>
          <t>Медик может совершить проверку Подручных средств со СЛ, равной СЛ Изготовления определённого лечащего алхимического состава, чтобы заменить его чем-то, что у него есть в наличии. Проверка занимает 1 раунд, и её можно повторить при провале. Подручные средства весьма специфичны, и действуют только на конкретную рану.</t>
        </r>
      </text>
    </comment>
    <comment ref="W5" authorId="0" shapeId="0" xr:uid="{252FC4E1-A750-478E-8DE1-D99D26A74193}">
      <text>
        <r>
          <rPr>
            <sz val="10"/>
            <color rgb="FF000000"/>
            <rFont val="Arial"/>
            <family val="2"/>
            <charset val="204"/>
          </rPr>
          <t>Медик может совершить проверку способности Практическая резня со СЛ, равной Тел x3 противника, чтобы обычные и критические ранения противника исцелялись в два раза медленнее. Другие медики могут нейтрализовать этот эффект при помощи Эффективной хирургии и предметов, повышающих скорость исцеления обычных и критических ран.</t>
        </r>
      </text>
    </comment>
    <comment ref="Y5" authorId="0" shapeId="0" xr:uid="{6E01E27D-989C-4182-BFD9-DE76D8601EF6}">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Z5" authorId="0" shapeId="0" xr:uid="{E1F5F70D-A7D3-4954-BC7A-F87B19773991}">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AA5" authorId="0" shapeId="0" xr:uid="{C848BCA2-854A-490C-89C8-8B9D8D7E6652}">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AC5" authorId="0" shapeId="0" xr:uid="{EE17EF1E-0EA8-4E87-BC71-991976C64B8C}">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AD5" authorId="0" shapeId="0" xr:uid="{1464A575-5E6C-407F-85DB-617BAB29254D}">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AE5" authorId="0" shapeId="0" xr:uid="{BDEC9717-196B-4EE0-8D89-EE720EBDA1F4}">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AG5" authorId="0" shapeId="0" xr:uid="{CFD896CB-6CDE-4819-966C-80AE9083E718}">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AH5" authorId="0" shapeId="0" xr:uid="{5DB371C9-8889-4067-A54C-63675A43F42E}">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AI5" authorId="0" shapeId="0" xr:uid="{0E300293-0A27-4190-9984-D08DF0945EF9}">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6" authorId="0" shapeId="0" xr:uid="{6D8323F7-3CBD-4187-BC93-E498493F5591}">
      <text>
        <r>
          <rPr>
            <sz val="10"/>
            <color rgb="FF000000"/>
            <rFont val="Arial"/>
            <family val="2"/>
            <charset val="204"/>
          </rPr>
          <t xml:space="preserve">Когда ведьмак становится целью заклинания, инвокации или порчи, он может совершить проверку способности Гелиотроп, чтобы попытаться отменить эффект.  Он должен выкинуть результат, который больше либо равен результату его противника, а также потратить количество выносливости, равное половине Выносливости, затраченной на сотворение магии. </t>
        </r>
      </text>
    </comment>
    <comment ref="B6" authorId="0" shapeId="0" xr:uid="{F2DBBA98-2A9B-497F-841B-E2500799A31F}">
      <text>
        <r>
          <rPr>
            <sz val="10"/>
            <color rgb="FF000000"/>
            <rFont val="Arial"/>
            <family val="2"/>
            <charset val="204"/>
          </rPr>
          <t xml:space="preserve">Принимая отвар, ведьмак может совершить проверку Трансмутации со СЛ 18. При успехе тело Ведьмака принимает в себя несколько больше мутагена, чем обычно, что позволяет получить бонус в зависимости от принятого отвара(см. таблицу на полях). Длительность действия отвара уменьшается вдвое. Дополнительные мутации слишком малы, чтобы их заметить. </t>
        </r>
      </text>
    </comment>
    <comment ref="C6" authorId="0" shapeId="0" xr:uid="{518B9103-F3D3-42BA-AA71-8F3CA186AF55}">
      <text>
        <r>
          <rPr>
            <sz val="10"/>
            <color rgb="FF000000"/>
            <rFont val="Arial"/>
            <family val="2"/>
            <charset val="204"/>
          </rPr>
          <t>Потратив 5 очков Выносливости за раунд, ведьмак может закрутиться в Вихре, совершая каждый ход по одной атаке против всех, кто находится в пределах дистанции его меча. Проверка Вихря считается проверкой атаки. Находясь в Вихре, ведьмак может только поддерживать его, уклоняться и передвигаться 2 метра за раунд. Любое другое действие или полученный удар прекращают Вихрь.</t>
        </r>
      </text>
    </comment>
    <comment ref="E6" authorId="0" shapeId="0" xr:uid="{16492F1D-DACF-4A44-B423-9BE333925B5E}">
      <text>
        <r>
          <rPr>
            <sz val="10"/>
            <color rgb="FF000000"/>
            <rFont val="Arial"/>
            <family val="2"/>
            <charset val="204"/>
          </rPr>
          <t>По решению ведущего жрец может получить видение будущего, на 3 раунда впав в состояние кататонии. После этого жрец может совершить проверку Предвидения со СЛ, определяемой ведущим,чтобы расшифровать полученный видения, которые представляют собой смесь символов и метафор.</t>
        </r>
      </text>
    </comment>
    <comment ref="F6" authorId="0" shapeId="0" xr:uid="{F2AC6ED9-146C-4A4B-B883-6E603154D7F6}">
      <text>
        <r>
          <rPr>
            <sz val="10"/>
            <color rgb="FF000000"/>
            <rFont val="Arial"/>
            <family val="2"/>
            <charset val="204"/>
          </rPr>
          <t xml:space="preserve">Друид добавляет способность Союзник природы к любым проверкам Выживания в дикой природе для обращения с животными. Друид также может сдружиться с животным, потратив полный раунд и совершив проверку Союзника природы. Зверь или иное животное становится союзником друида на количество часов, равное значению способности Союзник природы. Данная способность не действует на чудовищ. </t>
        </r>
      </text>
    </comment>
    <comment ref="G6" authorId="0" shapeId="0" xr:uid="{202D3240-7257-4C2E-8FA0-D9BFE012A875}">
      <text>
        <r>
          <rPr>
            <sz val="10"/>
            <color rgb="FF000000"/>
            <rFont val="Arial"/>
            <family val="2"/>
            <charset val="204"/>
          </rPr>
          <t>Жрец может совершить проверку способности Слово божье, чтобы убедить слушателей, что его устами говорит божество. Любой, кто провалит проверку Сопротивления убеждению, будет считать жреца мессией и следовать за ним. Количество последователей жреца равно значению его Слова божьего. Если у последователей нет блоков параметров, 
используйте для них
параметры разбойников.</t>
        </r>
      </text>
    </comment>
    <comment ref="I6" authorId="0" shapeId="0" xr:uid="{3E6AA43C-9A3D-43D6-B3E9-AA23920F3CB6}">
      <text>
        <r>
          <rPr>
            <sz val="10"/>
            <color rgb="FF000000"/>
            <rFont val="Arial"/>
            <family val="2"/>
            <charset val="204"/>
          </rPr>
          <t xml:space="preserve">Один раз за игровую партию Бард может использовать способность Добрый Друг, чтобы попытаться найти друга, который поможет ему. Результат броска распределяется между 3 категориями, указанными в таблице  "Добрый Друг" на полях. Друг окажет вам услугу по старой памяти, после чего не будет делать этого бесплатно. В дальнейшем его придется уговаривать.
</t>
        </r>
      </text>
    </comment>
    <comment ref="J6" authorId="0" shapeId="0" xr:uid="{E743C5BD-81DE-495E-B9F7-324B5752C7E1}">
      <text>
        <r>
          <rPr>
            <sz val="10"/>
            <color rgb="FF000000"/>
            <rFont val="Arial"/>
            <family val="2"/>
            <charset val="204"/>
          </rPr>
          <t>Находясь в поселении, бард может совершить проверку Сойти за своего (см. таблицу на полях). При успехе бард узнаёт, как выдать себя за местного, и его больше е считают чужим. Он получает бонус +2 к Харизме и Убеждению при общении  местными. При этом к нему не будут относиться с подозрением или подвергать травле, как чужака.</t>
        </r>
      </text>
    </comment>
    <comment ref="K6" authorId="0" shapeId="0" xr:uid="{519587E0-AD53-4175-B7F6-0E0B05247C9C}">
      <text>
        <r>
          <rPr>
            <sz val="10"/>
            <color rgb="FF000000"/>
            <rFont val="Arial"/>
            <family val="2"/>
            <charset val="204"/>
          </rPr>
          <t>Бард может совершить проверку способности И ты, Брут против Воли х 3 цели, чтобы настроить цель против одного союзника. При успехе ложь или полуправда, сказанная бардом, заставляет цель относиться к своему союзнику с подозрением и враждебностью количество дней, равное значению И ты, Брут, или пока цель не совершит проверку Сопротивления убеждению, результат которой выше результата И ты, Брут.</t>
        </r>
      </text>
    </comment>
    <comment ref="M6" authorId="0" shapeId="0" xr:uid="{B244239D-89F9-4402-869E-B94E8D33E3EE}">
      <text>
        <r>
          <rPr>
            <sz val="10"/>
            <color rgb="FF000000"/>
            <rFont val="Arial"/>
            <family val="2"/>
            <charset val="204"/>
          </rPr>
          <t xml:space="preserve">При попытке купить предмет торговец может совершить проверку Обещания со СЛ, равной Эмп х 3 продавца. При успехе продавец верит обещанию торговец заплатить позже. Количество недель, через которое необходимо выполнить это обязательство, равно значению Обещания. </t>
        </r>
      </text>
    </comment>
    <comment ref="N6" authorId="0" shapeId="0" xr:uid="{47DB4088-2F02-407E-84B7-1B5C10490FC6}">
      <text>
        <r>
          <rPr>
            <sz val="10"/>
            <color rgb="FF000000"/>
            <rFont val="Arial"/>
            <family val="2"/>
            <charset val="204"/>
          </rPr>
          <t xml:space="preserve">Один раз за игровую партию торговец может совершить проверку способности Карта сокровищ со СЛ, определяемой ведущим, чтобы вспомнить предполагаемое местонахождение реликвии или руин, в которых может оказаться что-то полезное. Место, руины, расположено достаточно далеко или же кишит опасностями. Чтобы добраться до него, потребуется целая игровая партия. </t>
        </r>
      </text>
    </comment>
    <comment ref="O6" authorId="0" shapeId="0" xr:uid="{D2950DC4-5A7C-4CE6-A80A-71FABC276DC3}">
      <text>
        <r>
          <rPr>
            <sz val="10"/>
            <color rgb="FF000000"/>
            <rFont val="Arial"/>
            <family val="2"/>
            <charset val="204"/>
          </rPr>
          <t>Торговец может совершить проверку способности Воинский долг, чтобы попросить о помощи воина, который у него в долгу. Результат броска необходимости распределить по 3 категориям, указанным в таблице на полях. Воин будет работать на торговца количество дней, равное значению Воинского долга, и без лишних вопросов исполнит любой приказ в пределах разумного.</t>
        </r>
      </text>
    </comment>
    <comment ref="Q6" authorId="0" shapeId="0" xr:uid="{28D7ABF9-BBC5-4086-85CE-F50B0C934288}">
      <text>
        <r>
          <rPr>
            <sz val="10"/>
            <color rgb="FF000000"/>
            <rFont val="Arial"/>
            <family val="2"/>
            <charset val="204"/>
          </rPr>
          <t>Один раз за игру маг может совершить проверку Полезных связей, чтобы вспомнить о ком-то, кто мог бы быть полезен. Результат проверки необходимо распределить между четырьмя категориями, указанные в таблице на полях, чтобы понять, кто этот знакомый. То, как агент будет помогать магу, зависит от их отношений.</t>
        </r>
      </text>
    </comment>
    <comment ref="R6" authorId="0" shapeId="0" xr:uid="{4A16B7D7-BC38-439C-9F70-656916FFB922}">
      <text>
        <r>
          <rPr>
            <sz val="10"/>
            <color rgb="FF000000"/>
            <rFont val="Arial"/>
            <family val="2"/>
            <charset val="204"/>
          </rPr>
          <t>Маг может потратить полный день и всю свою Выносливость на проведение экспериментов над целью, чтобы совершить бросок Мутации со СЛ, равной (28-(Тел+Воля цели)/2), и мутацией изменить цель. При успехе цель получает возможность использовать мутаген с подходящей малой мутацией. При провале цель оказывается при смерти и получает крупную мутацию.</t>
        </r>
      </text>
    </comment>
    <comment ref="S6" authorId="0" shapeId="0" xr:uid="{86A05812-23FD-4BD1-9B44-90201E08981C}">
      <text>
        <r>
          <rPr>
            <sz val="10"/>
            <color rgb="FF000000"/>
            <rFont val="Arial"/>
            <family val="2"/>
            <charset val="204"/>
          </rPr>
          <t>Маг может обрести огромное могущество, проводя магическую энергию через разные фокусирующие магические предметы. Маг может совершить проверку Усиления магии со СЛ 16 перед сотворением заклинания или проведением ритуала. При успехе маг может провести магическую энергию через любые 2 фокусирующих предмета по своему выбору, снижая затраты выносливости вдвое.</t>
        </r>
      </text>
    </comment>
    <comment ref="U6" authorId="0" shapeId="0" xr:uid="{08A0B9A3-9895-4440-9F12-9E99ABE4F8F9}">
      <text>
        <r>
          <rPr>
            <sz val="10"/>
            <color rgb="FF000000"/>
            <rFont val="Arial"/>
            <family val="2"/>
            <charset val="204"/>
          </rPr>
          <t>Перед тем как начать лечить критическое ранение, медик может совершить проверку Эффективной хирургии со СЛ, равной СЛ проверки Лечащего прикосновения, необходимой для лечения данного ранения. При успехе медик зашивает раны столь искусно,  что они исцеляются в два раза быстрее. Эту способность можно использовать при лечении как критических ранений, так и обычных.</t>
        </r>
      </text>
    </comment>
    <comment ref="V6" authorId="0" shapeId="0" xr:uid="{5CF7D971-7C0E-4F21-918C-DEE8EEBA7B10}">
      <text>
        <r>
          <rPr>
            <sz val="10"/>
            <color rgb="FF000000"/>
            <rFont val="Arial"/>
            <family val="2"/>
            <charset val="204"/>
          </rPr>
          <t>Смешав алхимические субстанции, медик может создать растительное лекарство, которое даёт бонусы/эффекты в зависимости от состава (см. таблицу Растительные лекарства на полях). Каждое лекарство хранится максимум 3 дня, после истечения этого срока его нельзя использовать. Чтобы получить бонус, лекарство следует сжечь или разжевать; его хватает только на одно применение. Создание лекарства занимает 1 ход.</t>
        </r>
      </text>
    </comment>
    <comment ref="W6" authorId="0" shapeId="0" xr:uid="{AD825885-0E6D-4B26-8B83-26A7885CA0E8}">
      <text>
        <r>
          <rPr>
            <sz val="10"/>
            <color rgb="FF000000"/>
            <rFont val="Arial"/>
            <family val="2"/>
            <charset val="204"/>
          </rPr>
          <t>Медик может совершить проверку способности Калечащая рана против защиты цели. Эта атака даёт штраф -6 к попаданию, но при успехе снижает Рефлексы, Реакцию или Скорость цели на 1 пункт за каждые 3 пункта свыше броска защиты. Штраф можно снять, только совершив проверку Эффективной хирургии с результатом выше результата атаки медика.</t>
        </r>
      </text>
    </comment>
    <comment ref="Y6" authorId="0" shapeId="0" xr:uid="{C287B713-DCD0-43A8-BC11-358513FD7AD9}">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Z6" authorId="0" shapeId="0" xr:uid="{F7C67CB6-AED0-45DA-B4B9-1522E2B05677}">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AA6" authorId="0" shapeId="0" xr:uid="{ECA99677-BF52-453D-A81D-E7E1DCDB7070}">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AC6" authorId="0" shapeId="0" xr:uid="{10AB128D-6AF9-4E24-927D-38B1297FEF46}">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AD6" authorId="0" shapeId="0" xr:uid="{6F9DDB6A-2BC0-41E7-8748-799E8C301F72}">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AE6" authorId="0" shapeId="0" xr:uid="{C1DB1E43-650B-47D2-8AB1-CC65348C04F3}">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AG6" authorId="0" shapeId="0" xr:uid="{6A1A1DA7-9BD1-4479-9569-4080139D8AC6}">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AH6" authorId="0" shapeId="0" xr:uid="{E380201D-F65F-47FD-8409-03F84A843ABE}">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AI6" authorId="0" shapeId="0" xr:uid="{F023AC9C-3F2B-4A49-92CC-68CD2D1E213C}">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G7" authorId="0" shapeId="0" xr:uid="{1542074D-D070-473B-9A76-0E024FBC56CF}">
      <text>
        <r>
          <rPr>
            <sz val="10"/>
            <color rgb="FF000000"/>
            <rFont val="Arial"/>
            <family val="2"/>
            <charset val="204"/>
          </rPr>
          <t>Когда ваш персонаж отдаёт своим последователям действительно странный или неестественный для него приказ, совершите проверку Слова Божьего со СЛ, определяемой ведущим. Вы можете провалить проверку 3 раза, после чего последователи покинут вашего персонажа. Если при последней проверке выпадет 1, то последователи нападут на вас или объявят еретиком.</t>
        </r>
      </text>
    </comment>
    <comment ref="K7" authorId="0" shapeId="0" xr:uid="{E2C6692C-1BA4-41DC-AC2F-5584E2D2FB0E}">
      <text>
        <r>
          <rPr>
            <sz val="10"/>
            <color rgb="FF000000"/>
            <rFont val="Arial"/>
            <family val="2"/>
            <charset val="204"/>
          </rPr>
          <t>Деревня(25)
Посёлок(20)
Город(15)
Столица(10)</t>
        </r>
      </text>
    </comment>
    <comment ref="O7" authorId="0" shapeId="0" xr:uid="{4BBE4B29-1850-4396-9237-7C5097833023}">
      <text>
        <r>
          <rPr>
            <sz val="10"/>
            <color rgb="FF000000"/>
            <rFont val="Arial"/>
            <family val="2"/>
            <charset val="204"/>
          </rPr>
          <t>Деревня(14)
Небольшой город(18)
Столица(22)</t>
        </r>
      </text>
    </comment>
    <comment ref="S7" authorId="0" shapeId="0" xr:uid="{1290B866-F4E4-42EE-AA89-1AFC3A63D13D}">
      <text>
        <r>
          <rPr>
            <sz val="10"/>
            <color rgb="FF000000"/>
            <rFont val="Arial"/>
            <family val="2"/>
            <charset val="204"/>
          </rPr>
          <t xml:space="preserve">Отношения с агентом показывают, насколько этот агент готов вам помогать. Полностью подчинённые существа помогут в любом случае. Те, с кем у вас роман, помогут практически во всём, пока вы поддерживаете романтические отношения.  Дружелюбных агентов нужно убедить рискнуть. Должники окажут только одну услугу. Шантажируемые агенты сделают всё, что угодно, но есть 50%-ный шанс, что они вас предадут. </t>
        </r>
      </text>
    </comment>
    <comment ref="AA7" authorId="0" shapeId="0" xr:uid="{31CD84DA-9D91-4048-96D5-BBA276191596}">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AE7" authorId="0" shapeId="0" xr:uid="{814CE760-0DC1-4A9E-8866-A64112142F0B}">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AI7" authorId="0" shapeId="0" xr:uid="{525C4AB0-C53D-4AAB-9DD7-26DAD224BB95}">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8" authorId="0" shapeId="0" xr:uid="{77648F07-D369-4B66-B345-65A2D440131D}">
      <text>
        <r>
          <rPr>
            <sz val="10"/>
            <color rgb="FF000000"/>
            <rFont val="Arial"/>
            <family val="2"/>
            <charset val="204"/>
          </rPr>
          <t xml:space="preserve">Любой, кто контактирует с вашей слюной, имеет 50%-ный шанс отравиться. </t>
        </r>
      </text>
    </comment>
    <comment ref="B8" authorId="0" shapeId="0" xr:uid="{7097DAF0-0938-436B-AA72-5CA9B0E87F25}">
      <text>
        <r>
          <rPr>
            <sz val="10"/>
            <color rgb="FF000000"/>
            <rFont val="Arial"/>
            <family val="2"/>
            <charset val="204"/>
          </rPr>
          <t>Ваши глаза меняются, и уровень освещения на вас больше не влияет.</t>
        </r>
      </text>
    </comment>
    <comment ref="E8" authorId="0" shapeId="0" xr:uid="{3ABD2F3C-424E-46D8-8726-173F1B614CF7}">
      <text>
        <r>
          <rPr>
            <sz val="10"/>
            <color rgb="FF000000"/>
            <rFont val="Arial"/>
            <family val="2"/>
            <charset val="204"/>
          </rPr>
          <t>Нападай(10)
Защищай цель(14)
Подвези меня(15)
Принеси мне кое-что(17)
Притащи мне кое-кого(15)
Стой(10)
Карауль(16)
Охраняй территорию(15)
Иди в знакомое место(15)
Не трогай(14)
Отступай(10)</t>
        </r>
      </text>
    </comment>
    <comment ref="F8" authorId="0" shapeId="0" xr:uid="{37C0120F-D582-43AE-B68A-3B48A3FC417C}">
      <text>
        <r>
          <rPr>
            <sz val="10"/>
            <color rgb="FF000000"/>
            <rFont val="Arial"/>
            <family val="2"/>
            <charset val="204"/>
          </rPr>
          <t>Кошка(12)
Собака(10)
Птица(14)
Змея(16)
Лошадь(14)
Боевой конь(16)
Вол(17)
Мул(14)
Волк(16)
Дикая собака(15)</t>
        </r>
      </text>
    </comment>
    <comment ref="I8" authorId="0" shapeId="0" xr:uid="{0CD00239-4DA4-496D-9AD4-40DDAD50B02E}">
      <text>
        <r>
          <rPr>
            <sz val="10"/>
            <color rgb="FF000000"/>
            <rFont val="Arial"/>
            <family val="2"/>
            <charset val="204"/>
          </rPr>
          <t xml:space="preserve">Деревня(3)
Посёлок(4)
Город(5)
Столица(10)
</t>
        </r>
      </text>
    </comment>
    <comment ref="J8" authorId="0" shapeId="0" xr:uid="{B3102B24-75CC-4A44-AB2D-8EF9073E367D}">
      <text>
        <r>
          <rPr>
            <sz val="10"/>
            <color rgb="FF000000"/>
            <rFont val="Arial"/>
            <family val="2"/>
            <charset val="204"/>
          </rPr>
          <t>Простолюдин(3)
Корчмарь(5)
Ремесленник(6)
Стражник(8)
Дворянин(10)</t>
        </r>
      </text>
    </comment>
    <comment ref="M8" authorId="0" shapeId="0" xr:uid="{7823EC7E-BE32-4146-9476-ED0694750DBD}">
      <text>
        <r>
          <rPr>
            <sz val="10"/>
            <color rgb="FF000000"/>
            <rFont val="Arial"/>
            <family val="2"/>
            <charset val="204"/>
          </rPr>
          <t>Значение 10(4)
Значение 14(8)
Значение 16(10)</t>
        </r>
      </text>
    </comment>
    <comment ref="Q8" authorId="0" shapeId="0" xr:uid="{16F74CA0-C38B-4010-BA8D-60E38685425B}">
      <text>
        <r>
          <rPr>
            <sz val="10"/>
            <color rgb="FF000000"/>
            <rFont val="Arial"/>
            <family val="2"/>
            <charset val="204"/>
          </rPr>
          <t>Деревня(3)
Посёлок(4)
Город(5)
Столица(10)</t>
        </r>
      </text>
    </comment>
    <comment ref="R8" authorId="0" shapeId="0" xr:uid="{B29BDFE8-4EE0-4605-BE38-755B64D86AAF}">
      <text>
        <r>
          <rPr>
            <sz val="10"/>
            <color rgb="FF000000"/>
            <rFont val="Arial"/>
            <family val="2"/>
            <charset val="204"/>
          </rPr>
          <t>Корчмарь(3)
Ремесленник(5)
Стражник(6)
Маг(8)
Дворянин(10)</t>
        </r>
      </text>
    </comment>
    <comment ref="U8" authorId="0" shapeId="0" xr:uid="{9A6066CC-F7BA-472D-A908-11076E57D616}">
      <text>
        <r>
          <rPr>
            <sz val="10"/>
            <color rgb="FF000000"/>
            <rFont val="Arial"/>
            <family val="2"/>
            <charset val="204"/>
          </rPr>
          <t>+15 ПЗ на 1 час.</t>
        </r>
      </text>
    </comment>
    <comment ref="V8" authorId="0" shapeId="0" xr:uid="{A127E27C-97CE-4826-8BC9-979520704D23}">
      <text>
        <r>
          <rPr>
            <sz val="10"/>
            <color rgb="FF000000"/>
            <rFont val="Arial"/>
            <family val="2"/>
            <charset val="204"/>
          </rPr>
          <t>+3 против Запугивания на 1 час.</t>
        </r>
      </text>
    </comment>
    <comment ref="W8" authorId="0" shapeId="0" xr:uid="{7AF09128-7355-441E-8FAB-F06137DA7824}">
      <text>
        <r>
          <rPr>
            <sz val="10"/>
            <color rgb="FF000000"/>
            <rFont val="Arial"/>
            <family val="2"/>
            <charset val="204"/>
          </rPr>
          <t>+15 к Выносливости на 1 час.</t>
        </r>
      </text>
    </comment>
    <comment ref="Y8" authorId="0" shapeId="0" xr:uid="{D88EAC0D-6DC6-4653-B5CE-81A161818691}">
      <text>
        <r>
          <rPr>
            <sz val="10"/>
            <color rgb="FF000000"/>
            <rFont val="Arial"/>
            <family val="2"/>
            <charset val="204"/>
          </rPr>
          <t>Жертва должна пройти проверку с определённой СЛ, чтобы высвободиться из захвата.</t>
        </r>
      </text>
    </comment>
    <comment ref="Z8" authorId="0" shapeId="0" xr:uid="{B66944E0-2D0A-4044-8ABB-56258A2CB4FA}">
      <text>
        <r>
          <rPr>
            <sz val="10"/>
            <color rgb="FF000000"/>
            <rFont val="Arial"/>
            <family val="2"/>
            <charset val="204"/>
          </rPr>
          <t>Эта ловушка бьет в районе плеч жертвы, выбивая у неё из рук оружие.</t>
        </r>
      </text>
    </comment>
    <comment ref="AC8" authorId="0" shapeId="0" xr:uid="{0FD932BD-7A96-45DB-94DD-58509040EA7E}">
      <text>
        <r>
          <rPr>
            <sz val="10"/>
            <color rgb="FF000000"/>
            <rFont val="Arial"/>
            <family val="2"/>
            <charset val="204"/>
          </rPr>
          <t>Неделя езды(3)
День езды(5)
День пешком(8)
В том же районе(10)</t>
        </r>
      </text>
    </comment>
    <comment ref="AD8" authorId="0" shapeId="0" xr:uid="{FC621B7D-3305-4B7B-A49E-8594A99ECD86}">
      <text>
        <r>
          <rPr>
            <sz val="10"/>
            <color rgb="FF000000"/>
            <rFont val="Arial"/>
            <family val="2"/>
            <charset val="204"/>
          </rPr>
          <t>Замки(1)
Скрытность(2)
2 охранника-разбойника(5)
5 ловушек на выбор ведущего(3)</t>
        </r>
      </text>
    </comment>
    <comment ref="AG8" authorId="0" shapeId="0" xr:uid="{813E5C92-A571-4EE7-A15A-4E44D00C861D}">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AH8" authorId="0" shapeId="0" xr:uid="{3D0EF95D-7644-41CD-8A2B-5E827A47688F}">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AI8" authorId="0" shapeId="0" xr:uid="{70D382A6-C4DC-4F37-904C-E892AE2F5F31}">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9" authorId="0" shapeId="0" xr:uid="{6176BC5F-227D-4C5F-9327-1EDE2F6CEC92}">
      <text>
        <r>
          <rPr>
            <sz val="10"/>
            <color rgb="FF000000"/>
            <rFont val="Arial"/>
            <family val="2"/>
            <charset val="204"/>
          </rPr>
          <t>Ваши ноги становится сильнее, и значение Прж увеличивается на 3 метра.</t>
        </r>
      </text>
    </comment>
    <comment ref="B9" authorId="0" shapeId="0" xr:uid="{4497D591-0174-455E-9ED1-AF0697050366}">
      <text>
        <r>
          <rPr>
            <sz val="10"/>
            <color rgb="FF000000"/>
            <rFont val="Arial"/>
            <family val="2"/>
            <charset val="204"/>
          </rPr>
          <t>Ваши надпочечники меняются, позволяя восстанавливать 3 ПЗ, когда вы наносите урон.</t>
        </r>
      </text>
    </comment>
    <comment ref="I9" authorId="0" shapeId="0" xr:uid="{37C77F8A-8C08-449F-94CA-0D1337076FEF}">
      <text>
        <r>
          <rPr>
            <sz val="10"/>
            <color rgb="FF000000"/>
            <rFont val="Arial"/>
            <family val="2"/>
            <charset val="204"/>
          </rPr>
          <t xml:space="preserve">Низкая(2)
Средняя(5)
Высокая(10)
</t>
        </r>
      </text>
    </comment>
    <comment ref="M9" authorId="0" shapeId="0" xr:uid="{5F38CF7F-5AD8-4AEF-89CC-B50019EBD4B5}">
      <text>
        <r>
          <rPr>
            <sz val="10"/>
            <color rgb="FF000000"/>
            <rFont val="Arial"/>
            <family val="2"/>
            <charset val="204"/>
          </rPr>
          <t>Значение 3(2)
Значение 5(5)
Значение 9(10)</t>
        </r>
      </text>
    </comment>
    <comment ref="Q9" authorId="0" shapeId="0" xr:uid="{D7201443-367A-4C1A-9AEF-92AFFD4087C9}">
      <text>
        <r>
          <rPr>
            <sz val="10"/>
            <color rgb="FF000000"/>
            <rFont val="Arial"/>
            <family val="2"/>
            <charset val="204"/>
          </rPr>
          <t>Низкая(2)
Средняя(3)
Высокая(5)</t>
        </r>
      </text>
    </comment>
    <comment ref="S9" authorId="0" shapeId="0" xr:uid="{0F203A1E-B26F-4876-950D-AD7D2C867C76}">
      <text>
        <r>
          <rPr>
            <sz val="10"/>
            <color rgb="FF000000"/>
            <rFont val="Arial"/>
            <family val="2"/>
            <charset val="204"/>
          </rPr>
          <t>Мутировать одного персонажа можно максимум два раза. Новые мутации применяются взамен имеющихся.</t>
        </r>
      </text>
    </comment>
    <comment ref="U9" authorId="0" shapeId="0" xr:uid="{74CF5023-4087-4E2F-B976-CB625150FF21}">
      <text>
        <r>
          <rPr>
            <sz val="10"/>
            <color rgb="FF000000"/>
            <rFont val="Arial"/>
            <family val="2"/>
            <charset val="204"/>
          </rPr>
          <t>Избавляет от боли на 1 час, уменьшая на 4 штрафы от критических ранений и состояния при смерти.</t>
        </r>
      </text>
    </comment>
    <comment ref="V9" authorId="0" shapeId="0" xr:uid="{592BB4BD-B473-454A-8AB7-9F5F51816778}">
      <text>
        <r>
          <rPr>
            <sz val="10"/>
            <color rgb="FF000000"/>
            <rFont val="Arial"/>
            <family val="2"/>
            <charset val="204"/>
          </rPr>
          <t>+3 к Соблазнению на 1 час.</t>
        </r>
      </text>
    </comment>
    <comment ref="W9" authorId="0" shapeId="0" xr:uid="{2E032610-C445-4647-86AA-471546BFDEF1}">
      <text>
        <r>
          <rPr>
            <sz val="10"/>
            <color rgb="FF000000"/>
            <rFont val="Arial"/>
            <family val="2"/>
            <charset val="204"/>
          </rPr>
          <t>Погружает вас в подобную смерти кому на 1 час.</t>
        </r>
      </text>
    </comment>
    <comment ref="Y9" authorId="0" shapeId="0" xr:uid="{B17122E2-B1B1-48BB-A47B-B40131288DCF}">
      <text>
        <r>
          <rPr>
            <sz val="10"/>
            <color rgb="FF000000"/>
            <rFont val="Arial"/>
            <family val="2"/>
            <charset val="204"/>
          </rPr>
          <t>Эта ловушка бросает песок/грязь в глаза жертвы, ослепляя её.</t>
        </r>
      </text>
    </comment>
    <comment ref="Z9" authorId="0" shapeId="0" xr:uid="{A08D6957-C56A-4D56-AC87-3F5B49E98A33}">
      <text>
        <r>
          <rPr>
            <sz val="10"/>
            <color rgb="FF000000"/>
            <rFont val="Arial"/>
            <family val="2"/>
            <charset val="204"/>
          </rPr>
          <t>Эта ловушка бьёт невысоко над землёй,  сбивая жертву с ног.</t>
        </r>
      </text>
    </comment>
    <comment ref="AC9" authorId="0" shapeId="0" xr:uid="{B3ED6758-B0AD-4773-B050-35594DE9E8FB}">
      <text>
        <r>
          <rPr>
            <sz val="10"/>
            <color rgb="FF000000"/>
            <rFont val="Arial"/>
            <family val="2"/>
            <charset val="204"/>
          </rPr>
          <t>Еда и вода(1)
Хирургические инструменты(2)
Кузница(3)
Инструменты алхимика(3)</t>
        </r>
      </text>
    </comment>
    <comment ref="A10" authorId="0" shapeId="0" xr:uid="{5BBEABA8-6EC1-4F32-A7C4-A014A1156769}">
      <text>
        <r>
          <rPr>
            <sz val="10"/>
            <color rgb="FF000000"/>
            <rFont val="Arial"/>
            <family val="2"/>
            <charset val="204"/>
          </rPr>
          <t>Ваши мускулы становятся сильнее, что даёт +5 к Скор, что также влияет на Бег.</t>
        </r>
      </text>
    </comment>
    <comment ref="B10" authorId="0" shapeId="0" xr:uid="{79A07CCA-F596-43BD-90F5-CD6D48139837}">
      <text>
        <r>
          <rPr>
            <sz val="10"/>
            <color rgb="FF000000"/>
            <rFont val="Arial"/>
            <family val="2"/>
            <charset val="204"/>
          </rPr>
          <t xml:space="preserve">Ваше тело и кости становятся крепче. Вы наносите дополнительно 1d6 физического урона. </t>
        </r>
      </text>
    </comment>
    <comment ref="M10" authorId="0" shapeId="0" xr:uid="{DCCFE692-E775-44F5-882B-E45BE02BD5B3}">
      <text>
        <r>
          <rPr>
            <sz val="10"/>
            <color rgb="FF000000"/>
            <rFont val="Arial"/>
            <family val="2"/>
            <charset val="204"/>
          </rPr>
          <t>Корпусная броня(3 ПБ), зерриканский кинжал, ручной арбалет и 10 арбалетных болтов(4).
Корпусная броня(5 ПБ), длинный лук и 30 стрел(6).
Полный латный доспех и торрур(10).</t>
        </r>
      </text>
    </comment>
    <comment ref="Q10" authorId="0" shapeId="0" xr:uid="{FA0E41B5-1C58-4634-BA50-6759AE9E9B44}">
      <text>
        <r>
          <rPr>
            <sz val="10"/>
            <color rgb="FF000000"/>
            <rFont val="Arial"/>
            <family val="2"/>
            <charset val="204"/>
          </rPr>
          <t>Шантаж(3)
Долг(5)
Дружелюбие(6)
Роман(8)
Подчинение(10)</t>
        </r>
      </text>
    </comment>
    <comment ref="U10" authorId="0" shapeId="0" xr:uid="{E1DFB2A6-1EDB-4C3A-BC1E-CE45926DC903}">
      <text>
        <r>
          <rPr>
            <sz val="10"/>
            <color rgb="FF000000"/>
            <rFont val="Arial"/>
            <family val="2"/>
            <charset val="204"/>
          </rPr>
          <t>Отменяет штрафы за слабое освещение на 1 час, но в 2 раза увеличивает штрафы за яркий свет.</t>
        </r>
      </text>
    </comment>
    <comment ref="V10" authorId="0" shapeId="0" xr:uid="{DECFB60F-4A60-415E-94C5-6DD5F8FA3FA3}">
      <text>
        <r>
          <rPr>
            <sz val="10"/>
            <color rgb="FF000000"/>
            <rFont val="Arial"/>
            <family val="2"/>
            <charset val="204"/>
          </rPr>
          <t>+3 к Вниманию на 1 час.</t>
        </r>
      </text>
    </comment>
    <comment ref="W10" authorId="0" shapeId="0" xr:uid="{1B159E7D-91A2-4FF7-8E3B-8B43C72E63D6}">
      <text>
        <r>
          <rPr>
            <sz val="10"/>
            <color rgb="FF000000"/>
            <rFont val="Arial"/>
            <family val="2"/>
            <charset val="204"/>
          </rPr>
          <t>Позволяет без штрафов не спать ночь.</t>
        </r>
      </text>
    </comment>
    <comment ref="Y10" authorId="0" shapeId="0" xr:uid="{A45B6449-92A6-466A-9663-DB3507A2974E}">
      <text>
        <r>
          <rPr>
            <sz val="10"/>
            <color rgb="FF000000"/>
            <rFont val="Arial"/>
            <family val="2"/>
            <charset val="204"/>
          </rPr>
          <t>Эта ловушка забрасывает шипами, после попадания которых жертва начинает истекать кровью.</t>
        </r>
      </text>
    </comment>
    <comment ref="Z10" authorId="0" shapeId="0" xr:uid="{3B17CB8E-E9C8-4651-8EDA-12D4A2986BD9}">
      <text>
        <r>
          <rPr>
            <sz val="10"/>
            <color rgb="FF000000"/>
            <rFont val="Arial"/>
            <family val="2"/>
            <charset val="204"/>
          </rPr>
          <t>Эта ловушка бьёт жертву по голове или в живот с достаточной силой, чтобы дезориентировать её.</t>
        </r>
      </text>
    </comment>
    <comment ref="A11" authorId="0" shapeId="0" xr:uid="{EC826947-EF70-4859-A052-7B3EDD5592E1}">
      <text>
        <r>
          <rPr>
            <sz val="10"/>
            <color rgb="FF000000"/>
            <rFont val="Arial"/>
            <family val="2"/>
            <charset val="204"/>
          </rPr>
          <t xml:space="preserve">Ваши глаза меняются, позволяя увидеть куда дальше. Вы получаете +4 к Вниманию. </t>
        </r>
      </text>
    </comment>
    <comment ref="B11" authorId="0" shapeId="0" xr:uid="{B48B3B1F-FD74-424F-9D89-1033B2985C8D}">
      <text>
        <r>
          <rPr>
            <sz val="10"/>
            <color rgb="FF000000"/>
            <rFont val="Arial"/>
            <family val="2"/>
            <charset val="204"/>
          </rPr>
          <t xml:space="preserve">Ваши глаза незаметно меняются, взгляд становится зачаровывающим. Вы получаете +4 к Харизме, Соблазнению и Убеждению. </t>
        </r>
      </text>
    </comment>
    <comment ref="U11" authorId="0" shapeId="0" xr:uid="{52AD6115-9328-4588-9D18-1186A7E1AB79}">
      <text>
        <r>
          <rPr>
            <sz val="10"/>
            <color rgb="FF000000"/>
            <rFont val="Arial"/>
            <family val="2"/>
            <charset val="204"/>
          </rPr>
          <t>+3 к Реакции на 10 раундов.</t>
        </r>
      </text>
    </comment>
    <comment ref="A12" authorId="0" shapeId="0" xr:uid="{AE8CCC13-40AA-49FE-B033-05462B36F0E8}">
      <text>
        <r>
          <rPr>
            <sz val="10"/>
            <color rgb="FF000000"/>
            <rFont val="Arial"/>
            <family val="2"/>
            <charset val="204"/>
          </rPr>
          <t xml:space="preserve">Ваше тело незаметно меняется, позволяя получить 10 Выносливости при убийстве цели. </t>
        </r>
      </text>
    </comment>
    <comment ref="B12" authorId="0" shapeId="0" xr:uid="{30DA80D8-D9A0-4F4B-B890-64FD6D6188B5}">
      <text>
        <r>
          <rPr>
            <sz val="10"/>
            <color rgb="FF000000"/>
            <rFont val="Arial"/>
            <family val="2"/>
            <charset val="204"/>
          </rPr>
          <t>Ваши челюсти становятся сильнее, а зубы заостряются. Вы можете атаковать укусом, нанося 2d6 урона.</t>
        </r>
      </text>
    </comment>
    <comment ref="U12" authorId="0" shapeId="0" xr:uid="{67BC32F0-BDBA-4259-AF24-3F896DBD848C}">
      <text>
        <r>
          <rPr>
            <sz val="10"/>
            <color rgb="FF000000"/>
            <rFont val="Arial"/>
            <family val="2"/>
            <charset val="204"/>
          </rPr>
          <t>Подробнее о лечении критических ранений см. на стр. 173.</t>
        </r>
      </text>
    </comment>
    <comment ref="A15" authorId="0" shapeId="0" xr:uid="{EA5BD469-4AE6-416D-B471-A7A24DF87D35}">
      <text>
        <r>
          <rPr>
            <sz val="10"/>
            <color rgb="FF000000"/>
            <rFont val="Arial"/>
            <family val="2"/>
            <charset val="204"/>
          </rPr>
          <t>Настоящие воины - будь-то темерские "Синие Полоски" или нильфгаардцы из бригады "Импера" - никогда не сдаются. Когда ПЗ воина опускаются до 0 или ниже, он может совершить проверку навыка Крепче стали со СЛ, равной количеству отрицательных ПЗ x2, чтобы продолжить сражаться. При провале воин оказывается при смерти. При успехе он может продолжать сражение, как если бы его ПЗ были ниже порога ранения. Получив урон, он вновь должен совершить проверку со СЛ, зависящей от его ПЗ.</t>
        </r>
      </text>
    </comment>
    <comment ref="E15" authorId="0" shapeId="0" xr:uid="{DF50B0BD-8751-44D5-BC59-2A8FB68CD5FA}">
      <text>
        <r>
          <rPr>
            <sz val="10"/>
            <color rgb="FF000000"/>
            <rFont val="Arial"/>
            <family val="2"/>
            <charset val="204"/>
          </rPr>
          <t>Все преступники, будь то убийцы, воры, фальшивомонетчики или контрабандисты, обладают обострённым чутьём на опасность - фактически профессиональной паранойей, благодаря которой они избегают поимки. Когда преступник оказывается в пределах 10 метров от ловушки (включая экспериментальные ловушки, ловушки воина и засады), он может немедленно совершить проверку Профессиональной Паранойи либо против СЛ обнаружения ловушки, либо против Скрытности засады, либо против заданной ведущим СЛ. Даже если преступник не заметит ловушки, чутьё всё равно ему подскажет, что тут что-то не так.</t>
        </r>
      </text>
    </comment>
    <comment ref="I15" authorId="0" shapeId="0" xr:uid="{8BA55254-0349-483A-AA8B-1ECC9B8CCFA1}">
      <text>
        <r>
          <rPr>
            <sz val="10"/>
            <color rgb="FF000000"/>
            <rFont val="Arial"/>
            <family val="2"/>
            <charset val="204"/>
          </rPr>
          <t>Умелый ремесленник способен наскоро подлатать оружие или броню, чтобы их владелец мог продолжать сражаться. Ремесленник свяжет вместе обрывки лопнувшей тетивы, заострит край сломанного клинка или приколотит металлическую пластину поверх треснувшего щита. Ремесленник может потратить ход и совершить проверку Быстрого ремонта со сложностью, равной СЛ Изготовления данного предмета минус 3, чтобы восстановить 1/2 прочности брони или 1/2 надёжности сломанного оружия или щита. Пока оружие после Быстрого ремонта не починят в кузнице, оно наносит половину обычного урона.</t>
        </r>
      </text>
    </comment>
    <comment ref="A17" authorId="0" shapeId="0" xr:uid="{74227873-364F-4625-BD34-285684C4CB37}">
      <text>
        <r>
          <rPr>
            <sz val="10"/>
            <color rgb="FF000000"/>
            <rFont val="Arial"/>
            <family val="2"/>
            <charset val="204"/>
          </rPr>
          <t>Совершая дистанционную атаку, которая получила бы штраф за дистанцию, воин может уменьшить штраф на половину Максимальная дистанции. Он также может совершить проверку способности Максимальная дистанция со СЛ 16, чтобы атаковать цель на расстоянии до 3 дистанций своего оружия со штрафом -10. Этот штраф можно уменьшить, применив данную способность.</t>
        </r>
      </text>
    </comment>
    <comment ref="B17" authorId="0" shapeId="0" xr:uid="{3C1F9FB5-49CC-4B67-9FBC-BD9328E809FC}">
      <text>
        <r>
          <rPr>
            <sz val="10"/>
            <color rgb="FF000000"/>
            <rFont val="Arial"/>
            <family val="2"/>
            <charset val="204"/>
          </rPr>
          <t>При выслеживании цели воин добавляет значение Ищейки к проверкам Выживания в дикой природе, чтобы найти след или пройти по нему. Если воин теряет след во время выслеживания с помощью этой способности, он может совершить проверку Ищейки со СЛ, определяемой ведущим, чтобы немедленно вновь найти след.</t>
        </r>
      </text>
    </comment>
    <comment ref="C17" authorId="0" shapeId="0" xr:uid="{D14BEE54-5F6D-4493-BBC0-8D0839C5DFD5}">
      <text>
        <r>
          <rPr>
            <sz val="10"/>
            <color rgb="FF000000"/>
            <rFont val="Arial"/>
            <family val="2"/>
            <charset val="204"/>
          </rPr>
          <t xml:space="preserve">Воин может совершить проверку Неистовства со СЛ, равной его Эмп х 3. При успехе воин становиться невосприимчив к ужасу, влияющим на эмоции заклинаниями и Словесной дуэли на количество раундов, равное удвоенному значению Неистовства. В это время ярость застилает разум воина и он полностью отдаётся во власти инстинктов. </t>
        </r>
      </text>
    </comment>
    <comment ref="E17" authorId="0" shapeId="0" xr:uid="{236BC4EA-9698-430B-AB30-24FCA0821B82}">
      <text>
        <r>
          <rPr>
            <sz val="10"/>
            <color rgb="FF000000"/>
            <rFont val="Arial"/>
            <family val="2"/>
            <charset val="204"/>
          </rPr>
          <t>Преступник может потратить час, чтобы побродить по улицам поселения и совершить проверку способности Присмотреться со СЛ, указанной в таблице на полях. При успехе преступник запоминает маршруты патрулей, расположение улиц и укрытий, что даёт ему бонус +2 к скрытности в этом районе на количество дней, равное значению Присмотреться.</t>
        </r>
      </text>
    </comment>
    <comment ref="F17" authorId="0" shapeId="0" xr:uid="{47A28EB3-A757-4492-AD79-07A04228CA9C}">
      <text>
        <r>
          <rPr>
            <sz val="10"/>
            <color rgb="FF000000"/>
            <rFont val="Arial"/>
            <family val="2"/>
            <charset val="204"/>
          </rPr>
          <t>Преступник может совершить встречную проверку Уязвимости против навыка Обман разумной цели, чтобы определить самую дорогую для цели вещь или личность. Это также даёт преступнику бонус +1 к Запугиванию за каждые два пункта свыше Обмана цели. Этот бонус действует до тех пор, пока уязвимость цели не изменится.</t>
        </r>
      </text>
    </comment>
    <comment ref="G17" authorId="0" shapeId="0" xr:uid="{A4BD032A-8205-4858-9303-48B0FF315600}">
      <text>
        <r>
          <rPr>
            <sz val="10"/>
            <color rgb="FF000000"/>
            <rFont val="Arial"/>
            <family val="2"/>
            <charset val="204"/>
          </rPr>
          <t>Преступник, не участвующий в бою, может потратить раунд, чтобы прицелиться, и совершить проверку прицеливания со СЛ, равной Реа x3 цели, чтобы получить бонус к следующей атаке, равный половине значения Прицеливания. Если преступника заметят после броска, но до атаки, бонус снижается в два раза.</t>
        </r>
      </text>
    </comment>
    <comment ref="I17" authorId="0" shapeId="0" xr:uid="{B4D28AFE-7F03-4D54-90BF-DFCD363C3806}">
      <text>
        <r>
          <rPr>
            <sz val="10"/>
            <color rgb="FF000000"/>
            <rFont val="Arial"/>
            <family val="2"/>
            <charset val="204"/>
          </rPr>
          <t>Умелый ремесленник способен запомнить огромное количество чертежей на все случаи жизни. Когда ремесленник уже запомнил максимальное доступное ему количество чертежей, он может совершить проверку способности Большой каталог со СЛ 15, чтобы запомнить ещё один. Нет ограничения на количество запомненных чертежей, но за каждые 10 запоминаний СЛ проверки повышается на 1.</t>
        </r>
      </text>
    </comment>
    <comment ref="J17" authorId="0" shapeId="0" xr:uid="{B54DF9D8-0793-493D-A03D-CC4A20A9743C}">
      <text>
        <r>
          <rPr>
            <sz val="10"/>
            <color rgb="FF000000"/>
            <rFont val="Arial"/>
            <family val="2"/>
            <charset val="204"/>
          </rPr>
          <t>Умелый ремесленник способен запомнить огромное количество формул на все случаи жизни. Когда ремесленник уже запомнил доступное ему количество формул, он может совершить проверку способности Список лекарств со СЛ 15, чтобы запомнить ещё одну. Нет ограничения на количество запомненных формул, но за каждые 10 запоминаний СЛ проверки повышается на 1.</t>
        </r>
      </text>
    </comment>
    <comment ref="K17" authorId="0" shapeId="0" xr:uid="{913B0A89-355F-47DF-9417-C88BE065B481}">
      <text>
        <r>
          <rPr>
            <sz val="10"/>
            <color rgb="FF000000"/>
            <rFont val="Arial"/>
            <family val="2"/>
            <charset val="204"/>
          </rPr>
          <t>Ремесленник может совершить проверку улучшения со СЛ, указанной в таблице на полях, чтобы придать оружию или броне особые свойства (при наличии инструментов ремесленника). На улучшение необходимо потратить три раунда. Для улучшения необязательно использовать кузницу, но она даёт +2 к проверке. Критический провал наносит предмету урон, равный значению провала.</t>
        </r>
      </text>
    </comment>
    <comment ref="A18" authorId="0" shapeId="0" xr:uid="{E8AA6E07-8C11-42B4-A727-F406704F72FF}">
      <text>
        <r>
          <rPr>
            <sz val="10"/>
            <color rgb="FF000000"/>
            <rFont val="Arial"/>
            <family val="2"/>
            <charset val="204"/>
          </rPr>
          <t>Совершая дистанционную атаку из лука или метательным оружием, воин может совершить проверку способности Двойной выстрел вместо соответствующего  оружия навыка. При попадании воин выпускает в цель два снаряда, повреждая две случайный части тела. Даже если атака была прицельной, второй снаряд попадёт в случайную часть тела.</t>
        </r>
      </text>
    </comment>
    <comment ref="B18" authorId="0" shapeId="0" xr:uid="{B4D1BF43-3EFA-4D94-A660-CDE600D34893}">
      <text>
        <r>
          <rPr>
            <sz val="10"/>
            <color rgb="FF000000"/>
            <rFont val="Arial"/>
            <family val="2"/>
            <charset val="204"/>
          </rPr>
          <t>Воин совершает проверку этого навыка, чтобы поставить ловушку. Одновременно можно ставить ловушку только одного вида. Каждая ловушка имеет растяжку в 2 метра, чтобы ее обнаружить,нужно бросить проверку с СЛ, равной проверке этого навыка.</t>
        </r>
      </text>
    </comment>
    <comment ref="C18" authorId="0" shapeId="0" xr:uid="{2E5DF123-E5C1-4470-AF60-2FA9CBD57D0E}">
      <text>
        <r>
          <rPr>
            <sz val="10"/>
            <color rgb="FF000000"/>
            <rFont val="Arial"/>
            <family val="2"/>
            <charset val="204"/>
          </rPr>
          <t>Потратив 10 очков Вын и совершив проверку способности Двуручник со штрафом - 3 против защиты противника, воин может совершить одну атаку, которая наносит двойной урон и считается пробивающей броню.  Если его оружие уже пробивающее броню, оно становится улучшенным пробивающее броню оружие с этой способностью наносит 3d6 дополнительного урона.</t>
        </r>
      </text>
    </comment>
    <comment ref="E18" authorId="0" shapeId="0" xr:uid="{FDBB06B4-D866-4B51-85D9-3AC138B2E5F9}">
      <text>
        <r>
          <rPr>
            <sz val="10"/>
            <color rgb="FF000000"/>
            <rFont val="Arial"/>
            <family val="2"/>
            <charset val="204"/>
          </rPr>
          <t>Когда преступник успешно вскрывает замок, он может совершить проверку Повторного взлома со СЛ, равной СЛ Взлома замков (для данного замка), чтобы запомнить положение штифтов. Это позволит ему взломать тот же замок без проверки навыка Взлома замков. Преступник может запомнить столько замков, сколько у него очков Инт. Всегда можно запомнить новый замок, забыв старый.</t>
        </r>
      </text>
    </comment>
    <comment ref="F18" authorId="0" shapeId="0" xr:uid="{6703F572-1B39-4A8C-BB80-5B902C161A14}">
      <text>
        <r>
          <rPr>
            <sz val="10"/>
            <color rgb="FF000000"/>
            <rFont val="Arial"/>
            <family val="2"/>
            <charset val="204"/>
          </rPr>
          <t>Преступник может совершить проверку способности Взять на заметку со СЛ, равной Эмп x3 цели, чтобы оставить метку на её двери или что-то подобное. При успехе цель должна проходить проверку Харизмы, Убеждения или Запугивания, результат которой должен быть выше проверки. Взять на заметку преступника, чтобы получить помощь или услугу у кого-либо в своём поселении.</t>
        </r>
      </text>
    </comment>
    <comment ref="G18" authorId="0" shapeId="0" xr:uid="{8D770575-6F41-44A9-966B-CF9476E7108F}">
      <text>
        <r>
          <rPr>
            <sz val="10"/>
            <color rgb="FF000000"/>
            <rFont val="Arial"/>
            <family val="2"/>
            <charset val="204"/>
          </rPr>
          <t>Вместо атаки преступник может совершить проверку способности Прямо в глаз чтобы временно ослепить цель. Для этого необходимо чтобы преступник находился на дистанции ближнего боя; к удару при этом применяется -3. При попадании цель получает 2d6 урона без модификаторов и ослепляется на количество раундов, равное значению прямо в глаз.</t>
        </r>
      </text>
    </comment>
    <comment ref="I18" authorId="0" shapeId="0" xr:uid="{2233095C-A5DA-4585-8D1A-072654FD450A}">
      <text>
        <r>
          <rPr>
            <sz val="10"/>
            <color rgb="FF000000"/>
            <rFont val="Arial"/>
            <family val="2"/>
            <charset val="204"/>
          </rPr>
          <t>Когда ремесленник начинает изготавливать какой-либо предмет, он может совершить проверку способности Подмастерье со СЛ, равной СЛ изготовления данного предмета. При успехе он прибавляет 1 к урону или прочности за каждые 2 пункта сверх указанной СЛ. Максимальный бонус к урону или прочности равен 5. Ремесленник не может использовать удачу для увеличения данного бонуса.</t>
        </r>
      </text>
    </comment>
    <comment ref="J18" authorId="0" shapeId="0" xr:uid="{3F2AECC1-A647-42E5-8C85-3A1AE3536CC9}">
      <text>
        <r>
          <rPr>
            <sz val="10"/>
            <color rgb="FF000000"/>
            <rFont val="Arial"/>
            <family val="2"/>
            <charset val="204"/>
          </rPr>
          <t>Когда ремесленник собирается изготовить алхимический состав, он может совершить проверку Двойной порции со СЛ, равной СЛ изготовления данной формулы. При успехе он создаёт 2 порции состава из ингредиентов, рассчитанных на одну порцию. Это применимо ко всем алхимическим предметам, включая эликсиры, масла, отвары и бомбы.</t>
        </r>
      </text>
    </comment>
    <comment ref="K18" authorId="0" shapeId="0" xr:uid="{3C04785B-DE43-4676-AD34-F2073EC4DD98}">
      <text>
        <r>
          <rPr>
            <sz val="10"/>
            <color rgb="FF000000"/>
            <rFont val="Arial"/>
            <family val="2"/>
            <charset val="204"/>
          </rPr>
          <t>Ремесленник может посеребрить имеющееся оружие в кузнице, совершив проверку со СЛ 16. Количество необходимых для этого серебряных слитков зависит от размеров оружия. При успехе оружие наносит +1d6 урона серебром за каждые 3 пункта свыше сложности, но не более 5d6. При провале оружие ломается.</t>
        </r>
      </text>
    </comment>
    <comment ref="A19" authorId="0" shapeId="0" xr:uid="{AE197792-12EE-4532-93D8-E3CA17B89993}">
      <text>
        <r>
          <rPr>
            <sz val="10"/>
            <color rgb="FF000000"/>
            <rFont val="Arial"/>
            <family val="2"/>
            <charset val="204"/>
          </rPr>
          <t>Если воин совершает критическую атаку дистанционным оружием, он может немедленно совершить проверку Точного прицела со СЛ, равной Лвк х 3 цели. При успехе воин добавляет значение способности Точной прицел к критическому броску. Эти очки влияют только на определение положения критического ранения.</t>
        </r>
      </text>
    </comment>
    <comment ref="B19" authorId="0" shapeId="0" xr:uid="{C78CA35E-5341-4A09-A41C-B4DE7FD5BE3C}">
      <text>
        <r>
          <rPr>
            <sz val="10"/>
            <color rgb="FF000000"/>
            <rFont val="Arial"/>
            <family val="2"/>
            <charset val="204"/>
          </rPr>
          <t>Вместо перемещения воин может совершить проверку Тактического преимущества, чтобы оценить группу противников. Воин получает бонус +3 к атаке и защите на один раунд против всех врагов в пределах 10 метров, чья Лвк х3 меньше, чем результат проверки. Также эта способность позволяет понять, что собирается делать каждый из врагов, на которых она действует.</t>
        </r>
      </text>
    </comment>
    <comment ref="C19" authorId="0" shapeId="0" xr:uid="{3DA52619-68BA-4F00-ACCC-DC3B246B35A5}">
      <text>
        <r>
          <rPr>
            <sz val="10"/>
            <color rgb="FF000000"/>
            <rFont val="Arial"/>
            <family val="2"/>
            <charset val="204"/>
          </rPr>
          <t>Количество раз за игровую партию, равное Тело воина, он может потратить 10 очков Выносливости, чтобы немедленно совершить проверку способности Игнорировать удар, когда противник наносит ему критическое ранение. Если результат проверки выше проверки атаки противника, воин отменяет критическое ранение, как если бы атака противника
не была критической.</t>
        </r>
      </text>
    </comment>
    <comment ref="E19" authorId="0" shapeId="0" xr:uid="{F85E3513-1560-4740-B8DF-83BBDBEDCEF9}">
      <text>
        <r>
          <rPr>
            <sz val="10"/>
            <color rgb="FF000000"/>
            <rFont val="Arial"/>
            <family val="2"/>
            <charset val="204"/>
          </rPr>
          <t>Один раз за игровую партию  преступник может совершить проверку способности Залечь на дно, чтобы найти тайное убежище, где он сможет спрятаться на какое-то время. Результат проверки Залечь на дно распределите между тремя категориями по соответствующей таблице на полях. Тайное убежище существует, пока его не уничтожат, и преступник всегда может в него вернуться.</t>
        </r>
      </text>
    </comment>
    <comment ref="F19" authorId="0" shapeId="0" xr:uid="{0BE01ECF-CE87-47F8-94ED-67242EB2BC2A}">
      <text>
        <r>
          <rPr>
            <sz val="10"/>
            <color rgb="FF000000"/>
            <rFont val="Arial"/>
            <family val="2"/>
            <charset val="204"/>
          </rPr>
          <t>Один раз в день, потратив час, преступник может совершить проверку Сбора с установленной ведущим СЛ. За каждые 2 пункта выше установленной СЛ преступник может завербовать 1 разбойника на количество дней, равное значению Сбора. Если у разбойника меньше половины ПЗ, он должен совершить бросок десятигранной кости, результат которого должен быть меньше значения Воли преступника; в противном случае разбойник убегает.</t>
        </r>
      </text>
    </comment>
    <comment ref="G19" authorId="0" shapeId="0" xr:uid="{EAD8EF9F-49C5-4D77-B5EA-6D385B25E391}">
      <text>
        <r>
          <rPr>
            <sz val="10"/>
            <color rgb="FF000000"/>
            <rFont val="Arial"/>
            <family val="2"/>
            <charset val="204"/>
          </rPr>
          <t>Устраивая засаду, преступник может совершить встречную проверку способности Удар ассасина против Внимания цели, чтобы скрыться после атаки. Эту способность можно использовать в любой ситуации, но к ней применяются штрафы в зависимости от освещенности и других условий. Если противников несколько, каждый может совершить по броску, чтобы попытаться заметить преступника.</t>
        </r>
      </text>
    </comment>
    <comment ref="I19" authorId="0" shapeId="0" xr:uid="{3461CEC4-3FDF-454C-8D71-ACB0F5FC7CCE}">
      <text>
        <r>
          <rPr>
            <sz val="10"/>
            <color rgb="FF000000"/>
            <rFont val="Arial"/>
            <family val="2"/>
            <charset val="204"/>
          </rPr>
          <t>Мастерская работа позволяет ремесленнику изготавливать предметы уровня мастера. Ремесленник также может в любой момент совершить проверку способности Мастерская работа со СЛ, равной СЛ Изготовления предмета, чтобы навсегда придать броне Сопротивление (он сам решает, чему именно) или бонус оружию: дробящее оружие получает свойство дезориентирующее (-2), колющее или режущее - кровопускающее (50%).</t>
        </r>
      </text>
    </comment>
    <comment ref="J19" authorId="0" shapeId="0" xr:uid="{4ECC37C9-243D-4875-BCD5-906030725544}">
      <text>
        <r>
          <rPr>
            <sz val="10"/>
            <color rgb="FF000000"/>
            <rFont val="Arial"/>
            <family val="2"/>
            <charset val="204"/>
          </rPr>
          <t>Перед созданием ведьмачьего эликсира ремесленник может совершить проверку Адаптации (3 + СЛ Изготовления), чтобы уменьшить СЛ избегания отравления на 1 за каждый пункт свыше СЛ Изготовления. При провале ядовитость эликсира не меняется. Сл избегания отравления не может опускаться ниже 12.</t>
        </r>
      </text>
    </comment>
    <comment ref="K19" authorId="0" shapeId="0" xr:uid="{3B74C2AE-EA6F-4E85-9FB2-00F9CD7B9F29}">
      <text>
        <r>
          <rPr>
            <sz val="10"/>
            <color rgb="FF000000"/>
            <rFont val="Arial"/>
            <family val="2"/>
            <charset val="204"/>
          </rPr>
          <t>Ремесленник может совершить проверку способности Прицельный удар со СЛ, равной СЛ Изготовления предмета, чтобы найти в нём изъян. На осмотр предмета уходит 1 раунд, но это позволяет ремесленнику совершить прицельную атаку со штрафом -6, чтобы нанести разрушающий урон оружию или броне, равный результату броска шестигранных костей в количестве, равном значению Прицельного удара.</t>
        </r>
      </text>
    </comment>
    <comment ref="C20" authorId="0" shapeId="0" xr:uid="{FE93E6DC-F3E0-4FC1-8F34-25294AEC5512}">
      <text>
        <r>
          <rPr>
            <sz val="10"/>
            <color rgb="FF000000"/>
            <rFont val="Arial"/>
            <family val="2"/>
            <charset val="204"/>
          </rPr>
          <t>За одно действие от Двойного выстрела можно уклониться; также за одно действие Двойной выстрел можно блокировать щитом. На парирование Двойного выстрела налагается штраф -6 вместо -3.</t>
        </r>
      </text>
    </comment>
    <comment ref="G20" authorId="0" shapeId="0" xr:uid="{389B3442-8787-4EF6-9BA3-75BDCCF34643}">
      <text>
        <r>
          <rPr>
            <sz val="10"/>
            <color rgb="FF000000"/>
            <rFont val="Arial"/>
            <family val="2"/>
            <charset val="204"/>
          </rPr>
          <t>Дистанция ближнего боя(-3)
Светлое место(-5)
В темноте(+5)
При слабом свете(+2)
В толпе(+3)
В тихом месте(-1)
Дальше 20 метров от цели(+3)</t>
        </r>
      </text>
    </comment>
    <comment ref="K20" authorId="0" shapeId="0" xr:uid="{4B624FE3-4F0D-4FD6-96FE-E80E3D79F343}">
      <text>
        <r>
          <rPr>
            <sz val="10"/>
            <color rgb="FF000000"/>
            <rFont val="Arial"/>
            <family val="2"/>
            <charset val="204"/>
          </rPr>
          <t>Для серебрения одноручного оружия требуется 2 слитка серебра, двуручного - 4 слитка серебра, и 1 слиток уйдёт на серебрение 10 или менее стрел и арбалетных болтов.</t>
        </r>
      </text>
    </comment>
    <comment ref="A21" authorId="0" shapeId="0" xr:uid="{9F0CC06E-4D5D-4243-9BC8-46340FBD619A}">
      <text>
        <r>
          <rPr>
            <sz val="10"/>
            <color rgb="FF000000"/>
            <rFont val="Arial"/>
            <family val="2"/>
            <charset val="204"/>
          </rPr>
          <t>Жертва должна пройти проверку с определённой СЛ, чтобы высвободиться из захвата.</t>
        </r>
      </text>
    </comment>
    <comment ref="B21" authorId="0" shapeId="0" xr:uid="{49727A38-E606-4297-9FDE-CBFCCF24CEA3}">
      <text>
        <r>
          <rPr>
            <sz val="10"/>
            <color rgb="FF000000"/>
            <rFont val="Arial"/>
            <family val="2"/>
            <charset val="204"/>
          </rPr>
          <t>Эта ловушка бьет в районе плеч жертвы, выбивая у неё из рук оружие.</t>
        </r>
      </text>
    </comment>
    <comment ref="E21" authorId="0" shapeId="0" xr:uid="{4580E7BF-AFCF-4B6E-8D1A-F250F85AFCAD}">
      <text>
        <r>
          <rPr>
            <sz val="10"/>
            <color rgb="FF000000"/>
            <rFont val="Arial"/>
            <family val="2"/>
            <charset val="204"/>
          </rPr>
          <t>Неделя езды(3)
День езды(5)
День пешком(8)
В том же районе(10)</t>
        </r>
      </text>
    </comment>
    <comment ref="F21" authorId="0" shapeId="0" xr:uid="{BC9D20F5-7BCB-4951-BBE7-88FBA29B0241}">
      <text>
        <r>
          <rPr>
            <sz val="10"/>
            <color rgb="FF000000"/>
            <rFont val="Arial"/>
            <family val="2"/>
            <charset val="204"/>
          </rPr>
          <t>Замки(1)
Скрытность(2)
2 охранника-разбойника(5)
5 ловушек на выбор ведущего(3)</t>
        </r>
      </text>
    </comment>
    <comment ref="I21" authorId="0" shapeId="0" xr:uid="{76972E45-4CF1-4F4F-A5CB-4126CF9D7D15}">
      <text>
        <r>
          <rPr>
            <sz val="10"/>
            <color rgb="FF000000"/>
            <rFont val="Arial"/>
            <family val="2"/>
            <charset val="204"/>
          </rPr>
          <t>Укрепление(+2 к надёжности) - 14 СЛ
Зазубривание/шипы(+25% вероятности кровотечения) - 16 СЛ
Облегчение(+1 к точности) - 18 СЛ</t>
        </r>
      </text>
    </comment>
    <comment ref="J21" authorId="0" shapeId="0" xr:uid="{9414B82D-FD09-4B3A-B46E-5DC44E75038D}">
      <text>
        <r>
          <rPr>
            <sz val="10"/>
            <color rgb="FF000000"/>
            <rFont val="Arial"/>
            <family val="2"/>
            <charset val="204"/>
          </rPr>
          <t>Укрепление(+2 к прочности) - 14 СЛ
Камуфляж(+1 к скрытности) - 16 СЛ
Шипы(2 урона тому, кто проводит захват) - 18 СЛ</t>
        </r>
      </text>
    </comment>
    <comment ref="K21" authorId="0" shapeId="0" xr:uid="{4AE14860-B391-4A86-8441-71972F318E84}">
      <text>
        <r>
          <rPr>
            <sz val="10"/>
            <color rgb="FF000000"/>
            <rFont val="Arial"/>
            <family val="2"/>
            <charset val="204"/>
          </rPr>
          <t>Ранее подлатанное оружие, щит или броню после повторной поломки можно подлатать ещё  только один раз. Во второй раз быстрый ремонт восстановит лишь 1/4 значения надёжности/прочности(с округлением вниз).</t>
        </r>
      </text>
    </comment>
    <comment ref="A22" authorId="0" shapeId="0" xr:uid="{AED8504A-E94F-46DC-905F-DA869E2BA355}">
      <text>
        <r>
          <rPr>
            <sz val="10"/>
            <color rgb="FF000000"/>
            <rFont val="Arial"/>
            <family val="2"/>
            <charset val="204"/>
          </rPr>
          <t>Эта ловушка бросает песок/грязь в глаза жертвы, ослепляя её.</t>
        </r>
      </text>
    </comment>
    <comment ref="B22" authorId="0" shapeId="0" xr:uid="{597EABCF-5AD9-4850-B274-239F4B46ED68}">
      <text>
        <r>
          <rPr>
            <sz val="10"/>
            <color rgb="FF000000"/>
            <rFont val="Arial"/>
            <family val="2"/>
            <charset val="204"/>
          </rPr>
          <t>Эта ловушка бьёт невысоко над землёй,  сбивая жертву с ног.</t>
        </r>
      </text>
    </comment>
    <comment ref="E22" authorId="0" shapeId="0" xr:uid="{7AD85D44-408E-4C81-B7DC-F9D08D09090A}">
      <text>
        <r>
          <rPr>
            <sz val="10"/>
            <color rgb="FF000000"/>
            <rFont val="Arial"/>
            <family val="2"/>
            <charset val="204"/>
          </rPr>
          <t>Еда и вода(1)
Хирургические инструменты(2)
Кузница(3)
Инструменты алхимика(3)</t>
        </r>
      </text>
    </comment>
    <comment ref="A23" authorId="0" shapeId="0" xr:uid="{305FBF8B-F172-4F0E-BFC9-D32392FC87FE}">
      <text>
        <r>
          <rPr>
            <sz val="10"/>
            <color rgb="FF000000"/>
            <rFont val="Arial"/>
            <family val="2"/>
            <charset val="204"/>
          </rPr>
          <t>Эта ловушка забрасывает шипами, после попадания которых жертва начинает истекать кровью.</t>
        </r>
      </text>
    </comment>
    <comment ref="B23" authorId="0" shapeId="0" xr:uid="{7A84D05C-4D8D-4119-BC8F-A832C74D69AB}">
      <text>
        <r>
          <rPr>
            <sz val="10"/>
            <color rgb="FF000000"/>
            <rFont val="Arial"/>
            <family val="2"/>
            <charset val="204"/>
          </rPr>
          <t>Эта ловушка бьёт жертву по голове или в живот с достаточной силой, чтобы дезориентировать её.</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I9" authorId="0" shapeId="0" xr:uid="{31A0AE83-E23C-491D-854D-91815C07AE77}">
      <text>
        <r>
          <rPr>
            <sz val="11"/>
            <color theme="1"/>
            <rFont val="Arial"/>
            <family val="2"/>
            <charset val="204"/>
          </rPr>
          <t>Жрец творящий ритуал может сделать проверку "Кровавый Ритуал" (ВОЛЯ) противсложности сотв. Ритуала. 
Если бросок успешен они сотворяют ритуал без необходимых алхим. субстанций пожертвовав 5 очками здоровья в виде крови заменяющей алхим. субстации. Эта кровь может быть взята у других, но должна быть пролита во время сотв. ритуала. 
======</t>
        </r>
      </text>
    </comment>
    <comment ref="G10" authorId="0" shapeId="0" xr:uid="{0B558D07-FE37-47BD-9899-F234F58D48FC}">
      <text>
        <r>
          <rPr>
            <sz val="11"/>
            <color theme="1"/>
            <rFont val="Arial"/>
            <family val="2"/>
            <charset val="204"/>
          </rPr>
          <t>Кметы и обычные люди видят Жрецов как проводников божьей воли. 
Жрецы могут добавлять Божественную власть к их броскам Лидерства, если они в области где их религия почитаема.Но даже вне этих областей Жрецы могут добавлять половину значения из-за своего присутствия. 
======</t>
        </r>
      </text>
    </comment>
    <comment ref="H10" authorId="0" shapeId="0" xr:uid="{90A16C76-5506-4FCD-8675-0CD9B0809E46}">
      <text>
        <r>
          <rPr>
            <sz val="11"/>
            <color theme="1"/>
            <rFont val="Arial"/>
            <family val="2"/>
            <charset val="204"/>
          </rPr>
          <t>Когда вы находитесть в естественной среде, друид может сделать бросок на Чтение Природы со слож. установл. ГМ
При успехе друид читает знаки вокруг и узнаёт всё что проходило
через эту облась и что они делали в этой области. Чтение природы показывает очень локальные образы и не может показать следы. 
======</t>
        </r>
      </text>
    </comment>
    <comment ref="I10" authorId="0" shapeId="0" xr:uid="{70C8C48C-F51C-4F0D-B93B-DFC5E1BABDD9}">
      <text>
        <r>
          <rPr>
            <sz val="11"/>
            <color theme="1"/>
            <rFont val="Arial"/>
            <family val="2"/>
            <charset val="204"/>
          </rPr>
          <t>Жрец может бросить "пыл фанатика" против сложности равной Интеллект цели x3. 
В случае успеха объединяющая сила слов священника дает 1к6 временных хитов за каждую единицу выше сложности (максимум 5).
Это длится количество раундов равное значению навыка  "пыл фанатика" x2 и
работает только один раз на цель в день.
======</t>
        </r>
      </text>
    </comment>
    <comment ref="G11" authorId="0" shapeId="0" xr:uid="{54946AB1-D292-48CA-8F2A-9A4141196C77}">
      <text>
        <r>
          <rPr>
            <sz val="11"/>
            <color theme="1"/>
            <rFont val="Arial"/>
            <family val="2"/>
            <charset val="204"/>
          </rPr>
          <t>По воле ГМ Жрец может быть охвачен видениями будущего, отправив его в кататоническое состояние на 3 раунда. 
После этого времени священник может сделать просок Предвиденья со сложностью установл. ГМ, чтобы расшифровать видения, которые он видел.
Такие видения всегда состоят из символизма и метафор. 
======</t>
        </r>
      </text>
    </comment>
    <comment ref="H11" authorId="0" shapeId="0" xr:uid="{68FF1BE6-0C1E-41D8-848B-2D80D5C7EF33}">
      <text>
        <r>
          <rPr>
            <sz val="11"/>
            <color theme="1"/>
            <rFont val="Arial"/>
            <family val="2"/>
            <charset val="204"/>
          </rPr>
          <t>Друид добавляет значение навыка Зверь-Компаньон к любым броскам выживания в дикой природе, которые они делают, чтобы справиться с животными. 
Друид также может заключить договор с животным. Взяв полный раунд и сделав бросок на  Зверь-Компаньон,  животное становится  союзником в течение кол-ва часов равному значению этого навыка. Не влияет на монстров
======</t>
        </r>
      </text>
    </comment>
    <comment ref="I11" authorId="0" shapeId="0" xr:uid="{87BC1363-FB8A-414A-9533-FD9B411202B5}">
      <text>
        <r>
          <rPr>
            <sz val="11"/>
            <color theme="1"/>
            <rFont val="Arial"/>
            <family val="2"/>
            <charset val="204"/>
          </rPr>
          <t>Жрец может сделать бросок на Слово Божье, чтобы убедить людей, что он говорит от имени богов. Любой, кто не справляется броском сопротивления принуждению, видит в жреце мессию и следует за ним как апостол.
Жрец может иметь количество апостолов равное его значению навыка Слово Божье
В бою используйте статистику бандитов для апостолов без статов. 
======</t>
        </r>
      </text>
    </comment>
  </commentList>
</comments>
</file>

<file path=xl/sharedStrings.xml><?xml version="1.0" encoding="utf-8"?>
<sst xmlns="http://schemas.openxmlformats.org/spreadsheetml/2006/main" count="1463" uniqueCount="909">
  <si>
    <t>Melee</t>
  </si>
  <si>
    <t>Witcher Training</t>
  </si>
  <si>
    <t>Stat</t>
  </si>
  <si>
    <t>Total</t>
  </si>
  <si>
    <t>Lvl</t>
  </si>
  <si>
    <t>#</t>
  </si>
  <si>
    <t>Rebis</t>
  </si>
  <si>
    <t>Aether</t>
  </si>
  <si>
    <t>Quebrith</t>
  </si>
  <si>
    <t>Hydragenum</t>
  </si>
  <si>
    <t>Vermilion</t>
  </si>
  <si>
    <t>Sol</t>
  </si>
  <si>
    <t>Caelum</t>
  </si>
  <si>
    <t>Fulgur</t>
  </si>
  <si>
    <t xml:space="preserve">Vitriol </t>
  </si>
  <si>
    <t>Игрок</t>
  </si>
  <si>
    <t>Имя</t>
  </si>
  <si>
    <t>Раса</t>
  </si>
  <si>
    <t>Пол</t>
  </si>
  <si>
    <t>Родина</t>
  </si>
  <si>
    <t>Возраст</t>
  </si>
  <si>
    <t>Профессия</t>
  </si>
  <si>
    <t>Расовые перки</t>
  </si>
  <si>
    <t>Социальный статус</t>
  </si>
  <si>
    <t>Репутация</t>
  </si>
  <si>
    <t>Броня</t>
  </si>
  <si>
    <t>Область</t>
  </si>
  <si>
    <t>ПБ</t>
  </si>
  <si>
    <t>УРОН</t>
  </si>
  <si>
    <t>Голова</t>
  </si>
  <si>
    <t>Торс</t>
  </si>
  <si>
    <t>Пр. рука</t>
  </si>
  <si>
    <t>Л. рука</t>
  </si>
  <si>
    <t>Пр. нога</t>
  </si>
  <si>
    <t>Л. Нога</t>
  </si>
  <si>
    <t>Здоровье</t>
  </si>
  <si>
    <t>Выносливость</t>
  </si>
  <si>
    <t>ИНТ</t>
  </si>
  <si>
    <t>РЕА</t>
  </si>
  <si>
    <t>ЛВК</t>
  </si>
  <si>
    <t>ТЕЛ</t>
  </si>
  <si>
    <t>СКОР</t>
  </si>
  <si>
    <t>ЭМП</t>
  </si>
  <si>
    <t>РЕМ</t>
  </si>
  <si>
    <t>ВОЛЯ</t>
  </si>
  <si>
    <t>УДАЧА</t>
  </si>
  <si>
    <t>УСТ</t>
  </si>
  <si>
    <t>БЕГ</t>
  </si>
  <si>
    <t>ПРЖ</t>
  </si>
  <si>
    <t>ОТДЫХ</t>
  </si>
  <si>
    <t>ВЕС</t>
  </si>
  <si>
    <t>ПИНОК</t>
  </si>
  <si>
    <t>УДАР
РУКОЙ</t>
  </si>
  <si>
    <t>Примечания</t>
  </si>
  <si>
    <t>Ранения</t>
  </si>
  <si>
    <t>Статусные эффекты</t>
  </si>
  <si>
    <t>С/Л</t>
  </si>
  <si>
    <t>Дни</t>
  </si>
  <si>
    <t>Название оружия</t>
  </si>
  <si>
    <t>Точноть</t>
  </si>
  <si>
    <t>Урон и Тип</t>
  </si>
  <si>
    <t>Надежность</t>
  </si>
  <si>
    <t>Дальность</t>
  </si>
  <si>
    <t>Эффект</t>
  </si>
  <si>
    <t>Улучшение</t>
  </si>
  <si>
    <t>Навыки ремела</t>
  </si>
  <si>
    <t>Алхимия*</t>
  </si>
  <si>
    <t>Ремесло*</t>
  </si>
  <si>
    <t>Маскировка</t>
  </si>
  <si>
    <t>Первая помощь</t>
  </si>
  <si>
    <t>Подделывание</t>
  </si>
  <si>
    <t>Взлом замков</t>
  </si>
  <si>
    <t>Изготовление
ловушек*</t>
  </si>
  <si>
    <t>Навыки ловкости</t>
  </si>
  <si>
    <t>Стрельба из лука</t>
  </si>
  <si>
    <t>Атлетика</t>
  </si>
  <si>
    <t>Стрельба
из арбалета</t>
  </si>
  <si>
    <t>Ловоксть рук</t>
  </si>
  <si>
    <t>Скрытность</t>
  </si>
  <si>
    <t>Навыки телосложения</t>
  </si>
  <si>
    <t>Сила</t>
  </si>
  <si>
    <t>Стойкость</t>
  </si>
  <si>
    <t>Навыки Эмапатии</t>
  </si>
  <si>
    <t>Харизма</t>
  </si>
  <si>
    <t>Обман</t>
  </si>
  <si>
    <t>Искусство</t>
  </si>
  <si>
    <t>Азартные игры</t>
  </si>
  <si>
    <t>Внешний вид</t>
  </si>
  <si>
    <t>Понимание людей</t>
  </si>
  <si>
    <t>Лидерство</t>
  </si>
  <si>
    <t>Убеждение</t>
  </si>
  <si>
    <t>Выступление</t>
  </si>
  <si>
    <t>Соблазнение</t>
  </si>
  <si>
    <t>Обучение О.О.</t>
  </si>
  <si>
    <t>Очки улучшения</t>
  </si>
  <si>
    <t>Навыки реакции</t>
  </si>
  <si>
    <t>Борьба</t>
  </si>
  <si>
    <t>Уклонение/
изворотливость</t>
  </si>
  <si>
    <t>Ближний бой</t>
  </si>
  <si>
    <t>Верховая езда</t>
  </si>
  <si>
    <t>Мореходство</t>
  </si>
  <si>
    <t>Владение
легкими клинками</t>
  </si>
  <si>
    <t>Владение
древковым оружием</t>
  </si>
  <si>
    <t>Владение мечом</t>
  </si>
  <si>
    <t>Навыки интеллекта</t>
  </si>
  <si>
    <t>Внимание</t>
  </si>
  <si>
    <t>Торговля</t>
  </si>
  <si>
    <t>Дедукция</t>
  </si>
  <si>
    <t>Образование</t>
  </si>
  <si>
    <t>Старшая речь*</t>
  </si>
  <si>
    <t>Язык краснолюдов*</t>
  </si>
  <si>
    <t>Монстрология*</t>
  </si>
  <si>
    <t>Этикет</t>
  </si>
  <si>
    <t>Ориентирование
 в городе</t>
  </si>
  <si>
    <t>Тактика*</t>
  </si>
  <si>
    <t>Передача знаний</t>
  </si>
  <si>
    <t>Выживание
 в дикой природе</t>
  </si>
  <si>
    <t>Всеобщий язык*</t>
  </si>
  <si>
    <t>Навыки воли</t>
  </si>
  <si>
    <t>Запугивание</t>
  </si>
  <si>
    <t>Использование
заклинаний*</t>
  </si>
  <si>
    <t>Сопротивление
магии*</t>
  </si>
  <si>
    <t>Храбрость</t>
  </si>
  <si>
    <t>Проведение
ритуалов*</t>
  </si>
  <si>
    <t>Сопротивление
убеждению</t>
  </si>
  <si>
    <t>Наведение
порчи*</t>
  </si>
  <si>
    <t>Проффесиональные навыки</t>
  </si>
  <si>
    <t>Название</t>
  </si>
  <si>
    <t>Порог ранения</t>
  </si>
  <si>
    <t>Кроны</t>
  </si>
  <si>
    <t>Набор
инструментов</t>
  </si>
  <si>
    <t>Контейнеры</t>
  </si>
  <si>
    <t>Вес оружия</t>
  </si>
  <si>
    <t>Вес брони</t>
  </si>
  <si>
    <t>Вес компонентов</t>
  </si>
  <si>
    <t>Вес снарядов</t>
  </si>
  <si>
    <t>Общий вес</t>
  </si>
  <si>
    <t>Т</t>
  </si>
  <si>
    <t>Н</t>
  </si>
  <si>
    <t>Х</t>
  </si>
  <si>
    <t>Д</t>
  </si>
  <si>
    <t>Скр</t>
  </si>
  <si>
    <t>Ус</t>
  </si>
  <si>
    <t>Вес</t>
  </si>
  <si>
    <t>Снаряды, бомбы, яды, ловушки</t>
  </si>
  <si>
    <t>Примечание</t>
  </si>
  <si>
    <t>Компоненты</t>
  </si>
  <si>
    <t>Алхимические вещества</t>
  </si>
  <si>
    <t>Заклинания/Инвокация/Знаки</t>
  </si>
  <si>
    <t>Затраты
Вын</t>
  </si>
  <si>
    <t>Дистанция</t>
  </si>
  <si>
    <t>Длительность</t>
  </si>
  <si>
    <t>Энергия</t>
  </si>
  <si>
    <t>Фокус</t>
  </si>
  <si>
    <t>Модификатор
энегрии</t>
  </si>
  <si>
    <t>Порча</t>
  </si>
  <si>
    <t>Стоимость</t>
  </si>
  <si>
    <t>Ритуалы</t>
  </si>
  <si>
    <t>Время</t>
  </si>
  <si>
    <t>СЛ</t>
  </si>
  <si>
    <t>Одежда</t>
  </si>
  <si>
    <t>Характер</t>
  </si>
  <si>
    <t>Прическа</t>
  </si>
  <si>
    <t>Украшения</t>
  </si>
  <si>
    <t>Кого ценит</t>
  </si>
  <si>
    <t>Что ценит</t>
  </si>
  <si>
    <t>Отношение к окружающим</t>
  </si>
  <si>
    <t>Родственники, соперники, друзья</t>
  </si>
  <si>
    <t>Детство</t>
  </si>
  <si>
    <t>Семья</t>
  </si>
  <si>
    <t>Родители</t>
  </si>
  <si>
    <t>Статус</t>
  </si>
  <si>
    <t>Повлиявший друг</t>
  </si>
  <si>
    <t>Жизненный путь</t>
  </si>
  <si>
    <t>События</t>
  </si>
  <si>
    <t>Десятелетие</t>
  </si>
  <si>
    <t>Стартовый возраст</t>
  </si>
  <si>
    <t>Школа</t>
  </si>
  <si>
    <t>Ранние тренеровки</t>
  </si>
  <si>
    <t>Испытания</t>
  </si>
  <si>
    <t>Важные события</t>
  </si>
  <si>
    <t>Текущий статус</t>
  </si>
  <si>
    <t>Соперники, друзья</t>
  </si>
  <si>
    <t>Шаг</t>
  </si>
  <si>
    <t>что делаем</t>
  </si>
  <si>
    <t>Выбираем расу, записываем перки в перки, не переписывайте пока что бонусы расы в навыки, добавите их в самом конце (иначе при подсчете очков навыков запутаетесь)</t>
  </si>
  <si>
    <t>Открываем стр. 25 книги правил и накидываем Жизненный путь. Вписываем события в соот. колонки (крайние справа) Записываем на отдельный листок пока что бонусы предыстории</t>
  </si>
  <si>
    <t>Прокидываем кубиком к10 статы или распределяем 60 очков. Не ниже 1 и не больше 10 в каждой стате</t>
  </si>
  <si>
    <t xml:space="preserve">Выбираем профессию </t>
  </si>
  <si>
    <t xml:space="preserve">Открываем лист Проф. Навыки и Снаряжение </t>
  </si>
  <si>
    <t>Выписываем проф. навыки и определ. навык для своей профессии</t>
  </si>
  <si>
    <t>Должно получится 11 навыков (10 профессиональных и 1 определяющий) между ними нужно распределить 44 очков навыков, так чтобы было не меньше 1 и не больше 6 в каждом. Навыки с пометкой сложные требуют 2 очка для повышения на 1</t>
  </si>
  <si>
    <t>Сложите значения вашего интеллекта и рефлексов. Полученное количество очков навыков - это дополнительные очки навыков, которые можно вложить в любые навыки КРОМЕ Профессиональных (из шага 7)</t>
  </si>
  <si>
    <t>На том же листе Проф. навыков и снаряжение найдите колонку с бесплатным снаряжением. Выберите 5 любых вещей на выбор, они есть у вас бесплатно, перепишите их в чарник в инвентарь</t>
  </si>
  <si>
    <t>На всё том же листе есть формула количества денег для вашего персонажа. Киньте 2к6 и умножьте на сумму указанную слева. Это ваши стартовые деньги</t>
  </si>
  <si>
    <t>Вы можете потратить их на снаряжение (стр. 71 и далее)</t>
  </si>
  <si>
    <t>добавьте расовые перки к навыкам</t>
  </si>
  <si>
    <t>всё готово</t>
  </si>
  <si>
    <t>Бард</t>
  </si>
  <si>
    <t>Экспромт</t>
  </si>
  <si>
    <t>Ремесленник</t>
  </si>
  <si>
    <t>Залатывание</t>
  </si>
  <si>
    <t>Преступник</t>
  </si>
  <si>
    <t>Параноик</t>
  </si>
  <si>
    <t>Медик</t>
  </si>
  <si>
    <t>Лечащие Руки</t>
  </si>
  <si>
    <t>Маг</t>
  </si>
  <si>
    <t>Маг. тренировка</t>
  </si>
  <si>
    <t>Воин</t>
  </si>
  <si>
    <t>Жесткий как Гвоздь</t>
  </si>
  <si>
    <t>Торговец</t>
  </si>
  <si>
    <t>Много Повидавший</t>
  </si>
  <si>
    <t>Жрец</t>
  </si>
  <si>
    <t>Посвящение Богам</t>
  </si>
  <si>
    <t>Ведьмак</t>
  </si>
  <si>
    <t>Ведьмачья тренировка</t>
  </si>
  <si>
    <t>Человек</t>
  </si>
  <si>
    <t>Перки:</t>
  </si>
  <si>
    <r>
      <t>(+1 к дедукции) (+1 Харизма +1 Убеждение +1 Соблазнение</t>
    </r>
    <r>
      <rPr>
        <b/>
        <sz val="11"/>
        <rFont val="Arial"/>
        <family val="2"/>
        <charset val="204"/>
      </rPr>
      <t xml:space="preserve"> </t>
    </r>
    <r>
      <rPr>
        <b/>
        <i/>
        <sz val="11"/>
        <rFont val="Arial"/>
        <family val="2"/>
        <charset val="204"/>
      </rPr>
      <t>Против др. людей)</t>
    </r>
    <r>
      <rPr>
        <sz val="11"/>
        <color theme="1"/>
        <rFont val="Calibri"/>
        <family val="2"/>
        <scheme val="minor"/>
      </rPr>
      <t xml:space="preserve"> Могут 3 раза за сессию перебросить  пров. проверки Смелости и Сопр. Влиянию</t>
    </r>
  </si>
  <si>
    <t>(+1 к внимательности) (-4 к Стату Эмпатия, но не ниже 1 и не выше 6) (+1  к Рефлексам и Ловкости и они могут со старта поднять эти хар. Выше 10) Имунны к болезням</t>
  </si>
  <si>
    <t>Краснолюд</t>
  </si>
  <si>
    <t>(+2 SP естесств. броня, не снимается пробиванием) (+1 к Физ.Силе и +25 к переносимому весу) (+1 к Бизнесу)</t>
  </si>
  <si>
    <t>Aen Seidhe</t>
  </si>
  <si>
    <t>(+1 к Изящ. Искусствам) (+2 к Стрельбе из Лука) (животные не нападают сами) (могут автоматически находить травы уровня common)</t>
  </si>
  <si>
    <t>Низушек</t>
  </si>
  <si>
    <t>(+1 к Атлетике) (+2 к Выживанию и управлению\уходу за животными) +5 к сопротивлению магии. Зелья не оказывают положительного эффекта. Не могут быть Жрецами и Магами</t>
  </si>
  <si>
    <t>не вписывайте перки в навыки, пока не распределите все очки навыков (профессиональные и дополнительные)</t>
  </si>
  <si>
    <t>сделаете это в конце, расовые бонусы игнорируют ограничение "не более 6 в навыке"</t>
  </si>
  <si>
    <t>1d6-4</t>
  </si>
  <si>
    <t>1d6</t>
  </si>
  <si>
    <t>1d6-2</t>
  </si>
  <si>
    <t>1d6+2</t>
  </si>
  <si>
    <t>1d6+4</t>
  </si>
  <si>
    <t>1d6+6</t>
  </si>
  <si>
    <t>1d6+8</t>
  </si>
  <si>
    <t>1d6+10</t>
  </si>
  <si>
    <t>1d6+12</t>
  </si>
  <si>
    <t>Распределите 44 очка навыков между  проф. навыками и Опред. Навыком Профессии так, чтобы было не меньше 1 но не больше 6 в каждом. Потом добавьте расовые бонусы (они могут поднять больше 6)</t>
  </si>
  <si>
    <t>Сложные навыки требуют в два раза больше очков навыков для повышения</t>
  </si>
  <si>
    <t>Человек Оружия</t>
  </si>
  <si>
    <t>Доктор</t>
  </si>
  <si>
    <t>Купец</t>
  </si>
  <si>
    <t>Дворянин</t>
  </si>
  <si>
    <t>Жесткий Как Гвоздь</t>
  </si>
  <si>
    <t>Параноя</t>
  </si>
  <si>
    <t>Магическая тренировка</t>
  </si>
  <si>
    <t>Тренировка Ведьмака</t>
  </si>
  <si>
    <t>Известность</t>
  </si>
  <si>
    <t>ПРОФЕССИОНАЛЬНЫЕ НАВЫКИ:</t>
  </si>
  <si>
    <t>взлом замков</t>
  </si>
  <si>
    <t>Язык (1 на выбор)</t>
  </si>
  <si>
    <t>Алхимия</t>
  </si>
  <si>
    <t>Уклонение</t>
  </si>
  <si>
    <t>Верховая Езда</t>
  </si>
  <si>
    <t>*торговец единственный у кого 11 навыков (2 языка)</t>
  </si>
  <si>
    <t>150 крон x 2d6</t>
  </si>
  <si>
    <t>120 крон x 2d6</t>
  </si>
  <si>
    <t>100 крон x 2d6</t>
  </si>
  <si>
    <t xml:space="preserve">150 крон x 2d6 </t>
  </si>
  <si>
    <t>180 крон x 2d6</t>
  </si>
  <si>
    <t>200 крон x 2d6</t>
  </si>
  <si>
    <t xml:space="preserve">75 крон x 2d6 </t>
  </si>
  <si>
    <t>50 крон x 2d6</t>
  </si>
  <si>
    <t>Бесплатное Снаряжение Воина (выбери 5 из списка:)</t>
  </si>
  <si>
    <t>Бесплатное Снаряжение Барда (выбери 5 из списка:)</t>
  </si>
  <si>
    <t>Бесплатное Снаряжение Ремесленника  (выбери 5 из списка:)</t>
  </si>
  <si>
    <t>Бесплатное Снаряжение Преступника  (выбери 5 из списка:)</t>
  </si>
  <si>
    <t>Бесплатное Снаряжение Доктора (выбери 5 из списка:)</t>
  </si>
  <si>
    <t>Бесплатное Снаряжение Торговца  (выбери 5 из списка:)</t>
  </si>
  <si>
    <t>Бесплатное Снаряжение Мага  (выбери 5 из списка:)</t>
  </si>
  <si>
    <t>Бесплатное Снаряжение Жреца  (выбери 5 из списка:)</t>
  </si>
  <si>
    <t>Бесплатное Снаряжение Ведьмина  (выбери 5 из списка:)</t>
  </si>
  <si>
    <t>Бесплатное Снаряжение Дворянина выбери 5 из списка:)</t>
  </si>
  <si>
    <t>Корд</t>
  </si>
  <si>
    <t>Покер с костями</t>
  </si>
  <si>
    <t>Кузница</t>
  </si>
  <si>
    <t>шулерская кость</t>
  </si>
  <si>
    <t>Свертыв. порошок x10</t>
  </si>
  <si>
    <t>набор писателя</t>
  </si>
  <si>
    <t>Песоч. часы</t>
  </si>
  <si>
    <t>Свящ. Символ</t>
  </si>
  <si>
    <t>Набор Алхимика</t>
  </si>
  <si>
    <t>Копье</t>
  </si>
  <si>
    <t>Колода Гвинта</t>
  </si>
  <si>
    <t>Инструменты торговца</t>
  </si>
  <si>
    <t>маслян. лампа</t>
  </si>
  <si>
    <t>Стерилиз. жидкостьx10</t>
  </si>
  <si>
    <t>инструметы торговца</t>
  </si>
  <si>
    <t>Набор для мэйкапа</t>
  </si>
  <si>
    <t>Стерил. жидкость х10</t>
  </si>
  <si>
    <t>Лошадь</t>
  </si>
  <si>
    <t>Боевой топор</t>
  </si>
  <si>
    <t>Ручное зеркальце</t>
  </si>
  <si>
    <t>Длинный Жел. Меч</t>
  </si>
  <si>
    <t>скрытый карман</t>
  </si>
  <si>
    <t>Обезболивающие травы x10</t>
  </si>
  <si>
    <t>большая палатка</t>
  </si>
  <si>
    <t>поясная сумка</t>
  </si>
  <si>
    <t>Мет. ножи х5</t>
  </si>
  <si>
    <t>метательные ножи х5</t>
  </si>
  <si>
    <t>Инструмент</t>
  </si>
  <si>
    <t>Инструменты ремесленника</t>
  </si>
  <si>
    <t>воровские инстр.</t>
  </si>
  <si>
    <t>Набор хирурга</t>
  </si>
  <si>
    <t>журнал</t>
  </si>
  <si>
    <t>Ручной абалет</t>
  </si>
  <si>
    <t>Рюкзак</t>
  </si>
  <si>
    <t>Фляга со спиртным</t>
  </si>
  <si>
    <t>скрытый рукав</t>
  </si>
  <si>
    <t>Набор писателя</t>
  </si>
  <si>
    <t>арбалет и 20 болтов</t>
  </si>
  <si>
    <t>ручное зеркальце</t>
  </si>
  <si>
    <t>пес. часы</t>
  </si>
  <si>
    <t>Двойной расшитый гамбезон</t>
  </si>
  <si>
    <t>Кольчужный капюшон</t>
  </si>
  <si>
    <t>Кинжал</t>
  </si>
  <si>
    <t>Песочные часы</t>
  </si>
  <si>
    <t>Стилет</t>
  </si>
  <si>
    <t>песоч. часы</t>
  </si>
  <si>
    <t>кинжал</t>
  </si>
  <si>
    <t xml:space="preserve">кинжал </t>
  </si>
  <si>
    <t>Бригантина (ср. доспех)</t>
  </si>
  <si>
    <t>Парфюм</t>
  </si>
  <si>
    <t>сундучок</t>
  </si>
  <si>
    <t>Латунные кастеты</t>
  </si>
  <si>
    <t>10 свечей</t>
  </si>
  <si>
    <t>посох</t>
  </si>
  <si>
    <t>Дополнительно:</t>
  </si>
  <si>
    <t>Бронированные поножи</t>
  </si>
  <si>
    <t>Поясная сумка</t>
  </si>
  <si>
    <t>булава</t>
  </si>
  <si>
    <t>одеяло</t>
  </si>
  <si>
    <t>подвязка</t>
  </si>
  <si>
    <t>сверт. порошок х10</t>
  </si>
  <si>
    <t>Медальон ведьмака</t>
  </si>
  <si>
    <t>Арбалет</t>
  </si>
  <si>
    <t>50 крон компонентов</t>
  </si>
  <si>
    <t>Хлороформ</t>
  </si>
  <si>
    <t>Большая палатка</t>
  </si>
  <si>
    <t>Мул и повозка</t>
  </si>
  <si>
    <t>Журнал</t>
  </si>
  <si>
    <t>обезбол. травы х10</t>
  </si>
  <si>
    <t>Ведьмачий Стальной меч</t>
  </si>
  <si>
    <t>Стальной баклер</t>
  </si>
  <si>
    <t>Журнал с замком</t>
  </si>
  <si>
    <t>замок</t>
  </si>
  <si>
    <t>с повседневными</t>
  </si>
  <si>
    <t>компоненты</t>
  </si>
  <si>
    <t>Ведьмачий Серебрянный меч</t>
  </si>
  <si>
    <t xml:space="preserve">товарами на 1000 </t>
  </si>
  <si>
    <t>на 100 крон</t>
  </si>
  <si>
    <t>Формула зелья х2</t>
  </si>
  <si>
    <t>крон</t>
  </si>
  <si>
    <t>Формула маслах2</t>
  </si>
  <si>
    <t>Формула Декокта</t>
  </si>
  <si>
    <t>АНГЛИЙСКИЕ НАЗВАНИЯ (ДЛЯ ПОИСКА ОПИСАНИЯ В КНИГЕ, если непонятно назначение предмета)</t>
  </si>
  <si>
    <t>Kord</t>
  </si>
  <si>
    <t>Dice poker board</t>
  </si>
  <si>
    <t>Tinker’s forge</t>
  </si>
  <si>
    <t>Loaded dice</t>
  </si>
  <si>
    <t>Clotting powder x10</t>
  </si>
  <si>
    <t>Writing kit</t>
  </si>
  <si>
    <t>Hourglass</t>
  </si>
  <si>
    <t>Holy symbol</t>
  </si>
  <si>
    <t>Alchemy set</t>
  </si>
  <si>
    <t>Esboda</t>
  </si>
  <si>
    <t>Spear</t>
  </si>
  <si>
    <t>Gwent deck</t>
  </si>
  <si>
    <t>Merchant’s tools</t>
  </si>
  <si>
    <t>Bullseye lantern</t>
  </si>
  <si>
    <t>Sterlizing fluid x10</t>
  </si>
  <si>
    <t>Makeup kit</t>
  </si>
  <si>
    <t>Sterilizing fluid x5</t>
  </si>
  <si>
    <t>A horse</t>
  </si>
  <si>
    <t>Fashionable clothing</t>
  </si>
  <si>
    <t>Battle axe</t>
  </si>
  <si>
    <t>Hand mirror</t>
  </si>
  <si>
    <t>Iron long sword</t>
  </si>
  <si>
    <t>Secret pocket</t>
  </si>
  <si>
    <t>Numbing herbs x10</t>
  </si>
  <si>
    <t>Large tent</t>
  </si>
  <si>
    <t>Belt pouch</t>
  </si>
  <si>
    <t>Throwing knives x5</t>
  </si>
  <si>
    <t>Horse</t>
  </si>
  <si>
    <t>An instrument</t>
  </si>
  <si>
    <t>Forging tools</t>
  </si>
  <si>
    <t>Thieves’ tools</t>
  </si>
  <si>
    <t>Surgeon’s kit</t>
  </si>
  <si>
    <t>Journal</t>
  </si>
  <si>
    <t>A hand crossbow</t>
  </si>
  <si>
    <t>Invisible ink</t>
  </si>
  <si>
    <t>Satchel</t>
  </si>
  <si>
    <t>Flask of spirits</t>
  </si>
  <si>
    <t>Sleeve sheath</t>
  </si>
  <si>
    <t>Crossbow &amp; bolts x20</t>
  </si>
  <si>
    <t>Double woven gambeson</t>
  </si>
  <si>
    <t>Jewelry</t>
  </si>
  <si>
    <t>Chain coif</t>
  </si>
  <si>
    <t>Dagger</t>
  </si>
  <si>
    <t>Stiletto</t>
  </si>
  <si>
    <t>Journal with a lock</t>
  </si>
  <si>
    <t>Brigandine</t>
  </si>
  <si>
    <t>Perfume/cologne</t>
  </si>
  <si>
    <t>Small chest</t>
  </si>
  <si>
    <t>Brass knuckles</t>
  </si>
  <si>
    <t>Candles x10</t>
  </si>
  <si>
    <t>Staff</t>
  </si>
  <si>
    <t>Armored trousers</t>
  </si>
  <si>
    <t>Mace</t>
  </si>
  <si>
    <t>Blanket</t>
  </si>
  <si>
    <t>Garter sheath</t>
  </si>
  <si>
    <t>Clotting powder x5</t>
  </si>
  <si>
    <t>Witcher medallion</t>
  </si>
  <si>
    <t>50 crowns of components</t>
  </si>
  <si>
    <t>Chloroform</t>
  </si>
  <si>
    <t>A mule and a cart with</t>
  </si>
  <si>
    <t>Numbing herbs x5</t>
  </si>
  <si>
    <t>Witcher’s steel sword</t>
  </si>
  <si>
    <t>Steel buckler</t>
  </si>
  <si>
    <t>A journal with a lock</t>
  </si>
  <si>
    <t>Lock</t>
  </si>
  <si>
    <t>1000 crowns of</t>
  </si>
  <si>
    <t>100 crowns of</t>
  </si>
  <si>
    <t>Witcher’s silver sword</t>
  </si>
  <si>
    <t>common or everyday</t>
  </si>
  <si>
    <t>components</t>
  </si>
  <si>
    <t>Potion formulae x2</t>
  </si>
  <si>
    <t>items</t>
  </si>
  <si>
    <t>Oil formulae x2</t>
  </si>
  <si>
    <t>Decoction formulae</t>
  </si>
  <si>
    <t>Обаятель</t>
  </si>
  <si>
    <t>Информатор</t>
  </si>
  <si>
    <t>Манипулятор</t>
  </si>
  <si>
    <t>Кузнец</t>
  </si>
  <si>
    <t>Алхимик</t>
  </si>
  <si>
    <t>Изобретатель</t>
  </si>
  <si>
    <t xml:space="preserve">Вор </t>
  </si>
  <si>
    <t>Лидер Банды</t>
  </si>
  <si>
    <t>Убийца</t>
  </si>
  <si>
    <t>Хирург</t>
  </si>
  <si>
    <t>Гербалист</t>
  </si>
  <si>
    <t>Анатомист</t>
  </si>
  <si>
    <t>Политик</t>
  </si>
  <si>
    <t xml:space="preserve">Ученый </t>
  </si>
  <si>
    <t>Архимаг</t>
  </si>
  <si>
    <t>"На Бис" (EMP)</t>
  </si>
  <si>
    <t>Тень</t>
  </si>
  <si>
    <t>Едкое замечание</t>
  </si>
  <si>
    <t>Расширенный ассортимент</t>
  </si>
  <si>
    <t>Ментальная Аптека</t>
  </si>
  <si>
    <t>Разведать обстановку</t>
  </si>
  <si>
    <t>Слабое Место</t>
  </si>
  <si>
    <t>Аккуратное прицеливание</t>
  </si>
  <si>
    <t>Диагноз</t>
  </si>
  <si>
    <t>Палатка Лекаря</t>
  </si>
  <si>
    <t>Кровоточащие раны</t>
  </si>
  <si>
    <t>Пристыдить</t>
  </si>
  <si>
    <t>Реверс-Инженер</t>
  </si>
  <si>
    <t>Контакт с Силой</t>
  </si>
  <si>
    <t>"Поднять толпу"
 (Эмпатия)</t>
  </si>
  <si>
    <t>Распустить слухи</t>
  </si>
  <si>
    <t>Издёвка</t>
  </si>
  <si>
    <t>Путешественник</t>
  </si>
  <si>
    <t>Двойная Доза</t>
  </si>
  <si>
    <t>Серебрение</t>
  </si>
  <si>
    <t>Ментальный Ключ</t>
  </si>
  <si>
    <t>Помеченный</t>
  </si>
  <si>
    <t>Глаз выколю</t>
  </si>
  <si>
    <t>Анализ</t>
  </si>
  <si>
    <t>Ипровизация</t>
  </si>
  <si>
    <t>Практика Резни</t>
  </si>
  <si>
    <t>Виноградная лоза</t>
  </si>
  <si>
    <t>Дистилляция</t>
  </si>
  <si>
    <t>Неизменный</t>
  </si>
  <si>
    <t>"Хороший Друг"
 (Эмпатия)</t>
  </si>
  <si>
    <t>Акклиматизация</t>
  </si>
  <si>
    <t>И Ты, Брут</t>
  </si>
  <si>
    <t>Мастер Ремесел</t>
  </si>
  <si>
    <t>Адаптация</t>
  </si>
  <si>
    <t>Прицельный</t>
  </si>
  <si>
    <t>Залечь на дно</t>
  </si>
  <si>
    <t>Ралли</t>
  </si>
  <si>
    <t>Удар Ассасина</t>
  </si>
  <si>
    <t>Эффективная операция</t>
  </si>
  <si>
    <t>Травяные средства</t>
  </si>
  <si>
    <t>Калечащее Увечье</t>
  </si>
  <si>
    <t>Активы</t>
  </si>
  <si>
    <t>Мутация</t>
  </si>
  <si>
    <t>Расширенная Магия</t>
  </si>
  <si>
    <t>Лучник</t>
  </si>
  <si>
    <t>Охотник за Головами</t>
  </si>
  <si>
    <t>Головорез</t>
  </si>
  <si>
    <t>Брокер</t>
  </si>
  <si>
    <t>Контакт</t>
  </si>
  <si>
    <t>Гавенкар</t>
  </si>
  <si>
    <t>Проповедник</t>
  </si>
  <si>
    <t>Друид</t>
  </si>
  <si>
    <t>Фанатик</t>
  </si>
  <si>
    <t>Магический Клинок</t>
  </si>
  <si>
    <t>Мутант</t>
  </si>
  <si>
    <t>Мечник</t>
  </si>
  <si>
    <t>Дилетант</t>
  </si>
  <si>
    <t>Лидер</t>
  </si>
  <si>
    <t>Рыцарь</t>
  </si>
  <si>
    <t>Предельная Дистанция</t>
  </si>
  <si>
    <t>Гончая</t>
  </si>
  <si>
    <t>Ярость</t>
  </si>
  <si>
    <t>Опции</t>
  </si>
  <si>
    <t>Нищие-шпионы</t>
  </si>
  <si>
    <t>Хорошие Связи</t>
  </si>
  <si>
    <t>Божественная Сила</t>
  </si>
  <si>
    <t>Созвучие Природы</t>
  </si>
  <si>
    <t>Кровавый Ритуал</t>
  </si>
  <si>
    <t>Медитация</t>
  </si>
  <si>
    <t>Железное
нутро</t>
  </si>
  <si>
    <t>Парирование Стрел
(Ловк)</t>
  </si>
  <si>
    <t>Брызги</t>
  </si>
  <si>
    <t>Приказ</t>
  </si>
  <si>
    <t>Решительность</t>
  </si>
  <si>
    <t>Двойной Выстрел</t>
  </si>
  <si>
    <t>Взрывная Ловушка</t>
  </si>
  <si>
    <t>Цвейнханд</t>
  </si>
  <si>
    <t>Невыгодная Сделка</t>
  </si>
  <si>
    <t>Инсайдер</t>
  </si>
  <si>
    <t>Посредник</t>
  </si>
  <si>
    <t>Божественная Власть</t>
  </si>
  <si>
    <t>Чтение Природы</t>
  </si>
  <si>
    <t>Пыл фанатика</t>
  </si>
  <si>
    <t>Магический источник</t>
  </si>
  <si>
    <t>Неистовство</t>
  </si>
  <si>
    <t>Быстрые удары (REF)</t>
  </si>
  <si>
    <t>Маска Эксперта</t>
  </si>
  <si>
    <t>Слуги</t>
  </si>
  <si>
    <t>Кавалер</t>
  </si>
  <si>
    <t>Точное прицеливание</t>
  </si>
  <si>
    <t>Тактическая Внимательность</t>
  </si>
  <si>
    <t>"просто царапина"</t>
  </si>
  <si>
    <t>Обещанный платёж</t>
  </si>
  <si>
    <t>Карта сокровищ</t>
  </si>
  <si>
    <t>Долг Воина</t>
  </si>
  <si>
    <t>Предвиденье</t>
  </si>
  <si>
    <t>Зверь-компаньон</t>
  </si>
  <si>
    <t>Слово Божье</t>
  </si>
  <si>
    <t>Гелиотроп
(Воля)</t>
  </si>
  <si>
    <t>Трансмутация (Тело)</t>
  </si>
  <si>
    <t>Вихрь(REF)</t>
  </si>
  <si>
    <t>Хозяин</t>
  </si>
  <si>
    <t>Собственность</t>
  </si>
  <si>
    <t>Непробиваемый</t>
  </si>
  <si>
    <t>Территория</t>
  </si>
  <si>
    <t>Люди</t>
  </si>
  <si>
    <t>Эльфы</t>
  </si>
  <si>
    <t>Краснолюды</t>
  </si>
  <si>
    <t>Ведьмаки</t>
  </si>
  <si>
    <t>Маги</t>
  </si>
  <si>
    <t>Низушки (Скоро)</t>
  </si>
  <si>
    <t>Север</t>
  </si>
  <si>
    <t>Равенство</t>
  </si>
  <si>
    <t>Ненависть</t>
  </si>
  <si>
    <t>Терпимость</t>
  </si>
  <si>
    <t>Боязнь и ненависть</t>
  </si>
  <si>
    <t>Нильфгаард</t>
  </si>
  <si>
    <t>Скеллиге</t>
  </si>
  <si>
    <t>Дол Блатанна</t>
  </si>
  <si>
    <t>Махакам</t>
  </si>
  <si>
    <t>СОЦ. ПОЛОЖЕНИЕ ЗАВИСИТ ОТ МЕСТНОСТИ В КОТОРОЙ ВЫ НАХОДИТЕСЬ И ОТ ВАШИХ ДЕЙСТВИЙ В НЕЙ</t>
  </si>
  <si>
    <t>Боязнь</t>
  </si>
  <si>
    <t>Нет штрафов</t>
  </si>
  <si>
    <t>-2 к Соблазнению, Харизме, Убеждению и Лидерству при общении с основным народом местности</t>
  </si>
  <si>
    <t>-1 к Соблазнению, Харизме, Убеждению и Лидерству при общении с основным народом местности</t>
  </si>
  <si>
    <t>Персонаж, которого боятся
получает +1 к запугиванию, но -1 к харизме</t>
  </si>
  <si>
    <t>Телосложение</t>
  </si>
  <si>
    <t>Удар рукой</t>
  </si>
  <si>
    <t>Удар ногой</t>
  </si>
  <si>
    <t>Подготовка ведьмака(Инт)</t>
  </si>
  <si>
    <t>Посвящённый(Эмп)</t>
  </si>
  <si>
    <t>Уличное выступление(Эмп)</t>
  </si>
  <si>
    <t>Бывалый путешественник(Инт)</t>
  </si>
  <si>
    <t>Магические познания(Инт)</t>
  </si>
  <si>
    <t>Лечащее прикосновение(Рем)</t>
  </si>
  <si>
    <t>Обольститель</t>
  </si>
  <si>
    <t>Интриган</t>
  </si>
  <si>
    <t>Человек со связями</t>
  </si>
  <si>
    <t>Учёный</t>
  </si>
  <si>
    <t>Травник</t>
  </si>
  <si>
    <t>Анатом</t>
  </si>
  <si>
    <t>Крепкий желудок</t>
  </si>
  <si>
    <t>Отбивание стрел
(Лвк)</t>
  </si>
  <si>
    <t>Божественная сила</t>
  </si>
  <si>
    <t xml:space="preserve">Единение с природой </t>
  </si>
  <si>
    <t>Кровавые ритуалы (Воля)</t>
  </si>
  <si>
    <t>Повторное выступление (Эмп)</t>
  </si>
  <si>
    <t>Незаметность (Инт)</t>
  </si>
  <si>
    <t>Коварство (Эмп)</t>
  </si>
  <si>
    <t>Рынок (Инт)</t>
  </si>
  <si>
    <t>Трущобы (Эмп)</t>
  </si>
  <si>
    <t>Хорошие связи (Воля)</t>
  </si>
  <si>
    <t>Строить козни (Инт)</t>
  </si>
  <si>
    <t>Анализ (Инт)</t>
  </si>
  <si>
    <t>Укрепление связи</t>
  </si>
  <si>
    <t>Диагноз (Инт)</t>
  </si>
  <si>
    <t>Палатка лекаря (Рем)</t>
  </si>
  <si>
    <t>Кровавая рана (Инт)</t>
  </si>
  <si>
    <t>Быстрый удар (Реа)</t>
  </si>
  <si>
    <t>Божественный авторитет (Эмп)</t>
  </si>
  <si>
    <t>Знаки природы (Инт)</t>
  </si>
  <si>
    <t>Рвение (Эмп)</t>
  </si>
  <si>
    <t>Заворожить публику (Эмп)</t>
  </si>
  <si>
    <t>Пустить слух (Инт)</t>
  </si>
  <si>
    <t>Подколка (Эмп)</t>
  </si>
  <si>
    <t>Нечестная сделка (Эмп)</t>
  </si>
  <si>
    <t>Свой человек (Инт)</t>
  </si>
  <si>
    <t>Сбытчик (Инт)</t>
  </si>
  <si>
    <t>Сплетни (Инт)</t>
  </si>
  <si>
    <t>Дисталляция (Рем)</t>
  </si>
  <si>
    <t>Устойчивость к двимериту (Воля)</t>
  </si>
  <si>
    <t>Осмотр (Инт)</t>
  </si>
  <si>
    <t>Подручные средства (Инт)</t>
  </si>
  <si>
    <t>Практическая резня (Инт)</t>
  </si>
  <si>
    <t>Вихрь (Реа)</t>
  </si>
  <si>
    <t>Предвидение</t>
  </si>
  <si>
    <t>Союзник природы (Воля)</t>
  </si>
  <si>
    <t>Слово божье (Эмп)</t>
  </si>
  <si>
    <t>Добрый друг (Эмп)</t>
  </si>
  <si>
    <t>Сойти за своего (Инт)</t>
  </si>
  <si>
    <t>И ты, Брут (Эмп)</t>
  </si>
  <si>
    <t>Обещание (Эмп)</t>
  </si>
  <si>
    <t>Карта сокровищ (Инт)</t>
  </si>
  <si>
    <t>Воинский долг (Эмп)</t>
  </si>
  <si>
    <t>Полезные связи (Инт)</t>
  </si>
  <si>
    <t>Мутация (Инт)</t>
  </si>
  <si>
    <t>Усиление магии (Воля)</t>
  </si>
  <si>
    <t>Эффективная хирургия (Рем)</t>
  </si>
  <si>
    <t>Растительное лекарство (Рем)</t>
  </si>
  <si>
    <t>Калечащая рана (Инт)</t>
  </si>
  <si>
    <t>Трансмутация отвар</t>
  </si>
  <si>
    <t>Отбивание бомб</t>
  </si>
  <si>
    <t>Союзник природы</t>
  </si>
  <si>
    <t>Последователи</t>
  </si>
  <si>
    <t>Добрый друг(Стоимость)</t>
  </si>
  <si>
    <t>Сойти за своего(СЛ)</t>
  </si>
  <si>
    <t>Воинский долг(Значение - стоимость)</t>
  </si>
  <si>
    <r>
      <t xml:space="preserve">Поселения. </t>
    </r>
    <r>
      <rPr>
        <sz val="10"/>
        <color rgb="FFCC0000"/>
        <rFont val="Arial"/>
        <family val="2"/>
        <charset val="204"/>
      </rPr>
      <t>Хорошие Связи</t>
    </r>
    <r>
      <rPr>
        <sz val="11"/>
        <color theme="1"/>
        <rFont val="Calibri"/>
        <family val="2"/>
        <scheme val="minor"/>
      </rPr>
      <t xml:space="preserve"> и </t>
    </r>
    <r>
      <rPr>
        <sz val="10"/>
        <color rgb="FF6AA84F"/>
        <rFont val="Arial"/>
        <family val="2"/>
        <charset val="204"/>
      </rPr>
      <t>Трущобы</t>
    </r>
    <r>
      <rPr>
        <sz val="11"/>
        <color theme="1"/>
        <rFont val="Calibri"/>
        <family val="2"/>
        <scheme val="minor"/>
      </rPr>
      <t>(Стоимость)</t>
    </r>
  </si>
  <si>
    <t>Полезные связи</t>
  </si>
  <si>
    <t>Отношения</t>
  </si>
  <si>
    <t>Растительные лекарства(СЛ)</t>
  </si>
  <si>
    <t>Главоглаз</t>
  </si>
  <si>
    <t>Полуденница</t>
  </si>
  <si>
    <t>Бомбы и другие атаки, поражающие зону, взрываются после отбивания. Если вторая цель уклоняется от атаки, совершите бросок по таблице разброса(см. стр. 152), чтобы определить, куда попадёт снаряд.</t>
  </si>
  <si>
    <t>Приказ(СЛ)</t>
  </si>
  <si>
    <t>Животное(СЛ)</t>
  </si>
  <si>
    <t>Поселение</t>
  </si>
  <si>
    <t>Атака и защита</t>
  </si>
  <si>
    <t>Поселение(Оч)</t>
  </si>
  <si>
    <t>Профессия(Оч)</t>
  </si>
  <si>
    <r>
      <rPr>
        <sz val="10"/>
        <color rgb="FF993366"/>
        <rFont val="Arial"/>
        <family val="2"/>
        <charset val="204"/>
      </rPr>
      <t>Купорос</t>
    </r>
    <r>
      <rPr>
        <sz val="11"/>
        <color theme="1"/>
        <rFont val="Calibri"/>
        <family val="2"/>
        <scheme val="minor"/>
      </rPr>
      <t>+</t>
    </r>
    <r>
      <rPr>
        <sz val="10"/>
        <color rgb="FFED7D31"/>
        <rFont val="Arial"/>
        <family val="2"/>
        <charset val="204"/>
      </rPr>
      <t>Ребис</t>
    </r>
    <r>
      <rPr>
        <sz val="11"/>
        <color theme="1"/>
        <rFont val="Calibri"/>
        <family val="2"/>
        <scheme val="minor"/>
      </rPr>
      <t>(18)</t>
    </r>
  </si>
  <si>
    <r>
      <rPr>
        <sz val="10"/>
        <color rgb="FFC00000"/>
        <rFont val="Arial"/>
        <family val="2"/>
        <charset val="204"/>
      </rPr>
      <t>Фульгор</t>
    </r>
    <r>
      <rPr>
        <sz val="11"/>
        <color theme="1"/>
        <rFont val="Calibri"/>
        <family val="2"/>
        <scheme val="minor"/>
      </rPr>
      <t>+</t>
    </r>
    <r>
      <rPr>
        <sz val="10"/>
        <color rgb="FF00B050"/>
        <rFont val="Arial"/>
        <family val="2"/>
        <charset val="204"/>
      </rPr>
      <t>Киноварь</t>
    </r>
    <r>
      <rPr>
        <sz val="11"/>
        <color theme="1"/>
        <rFont val="Calibri"/>
        <family val="2"/>
        <scheme val="minor"/>
      </rPr>
      <t>(15)</t>
    </r>
  </si>
  <si>
    <r>
      <rPr>
        <sz val="10"/>
        <color rgb="FF00B050"/>
        <rFont val="Arial"/>
        <family val="2"/>
        <charset val="204"/>
      </rPr>
      <t>Киноварь</t>
    </r>
    <r>
      <rPr>
        <sz val="11"/>
        <color theme="1"/>
        <rFont val="Calibri"/>
        <family val="2"/>
        <scheme val="minor"/>
      </rPr>
      <t>+</t>
    </r>
    <r>
      <rPr>
        <sz val="10"/>
        <color rgb="FFE1E600"/>
        <rFont val="Arial"/>
        <family val="2"/>
        <charset val="204"/>
      </rPr>
      <t>Квербит</t>
    </r>
    <r>
      <rPr>
        <sz val="11"/>
        <color theme="1"/>
        <rFont val="Calibri"/>
        <family val="2"/>
        <scheme val="minor"/>
      </rPr>
      <t>(18)</t>
    </r>
  </si>
  <si>
    <t>Накер</t>
  </si>
  <si>
    <t>Катакан</t>
  </si>
  <si>
    <t>Влиятельность</t>
  </si>
  <si>
    <t>Интеллект</t>
  </si>
  <si>
    <t>Влиятельность(Очки)</t>
  </si>
  <si>
    <t>Лимит мутаций</t>
  </si>
  <si>
    <r>
      <rPr>
        <sz val="10"/>
        <color rgb="FFE1E600"/>
        <rFont val="Arial"/>
        <family val="2"/>
        <charset val="204"/>
      </rPr>
      <t>Квербит</t>
    </r>
    <r>
      <rPr>
        <sz val="11"/>
        <color theme="1"/>
        <rFont val="Calibri"/>
        <family val="2"/>
        <scheme val="minor"/>
      </rPr>
      <t>+</t>
    </r>
    <r>
      <rPr>
        <sz val="10"/>
        <color rgb="FFFFC000"/>
        <rFont val="Arial"/>
        <family val="2"/>
        <charset val="204"/>
      </rPr>
      <t>Солнце</t>
    </r>
    <r>
      <rPr>
        <sz val="11"/>
        <color theme="1"/>
        <rFont val="Calibri"/>
        <family val="2"/>
        <scheme val="minor"/>
      </rPr>
      <t>(14)</t>
    </r>
  </si>
  <si>
    <r>
      <rPr>
        <sz val="10"/>
        <color rgb="FF3366FF"/>
        <rFont val="Arial"/>
        <family val="2"/>
        <charset val="204"/>
      </rPr>
      <t>Гидраген</t>
    </r>
    <r>
      <rPr>
        <sz val="11"/>
        <color theme="1"/>
        <rFont val="Calibri"/>
        <family val="2"/>
        <scheme val="minor"/>
      </rPr>
      <t>+</t>
    </r>
    <r>
      <rPr>
        <sz val="10"/>
        <color rgb="FFED7D31"/>
        <rFont val="Arial"/>
        <family val="2"/>
        <charset val="204"/>
      </rPr>
      <t>Ребис</t>
    </r>
    <r>
      <rPr>
        <sz val="11"/>
        <color theme="1"/>
        <rFont val="Calibri"/>
        <family val="2"/>
        <scheme val="minor"/>
      </rPr>
      <t>(15)</t>
    </r>
  </si>
  <si>
    <r>
      <rPr>
        <sz val="10"/>
        <color rgb="FFC00000"/>
        <rFont val="Arial"/>
        <family val="2"/>
        <charset val="204"/>
      </rPr>
      <t>Фульгор</t>
    </r>
    <r>
      <rPr>
        <sz val="11"/>
        <color theme="1"/>
        <rFont val="Calibri"/>
        <family val="2"/>
        <scheme val="minor"/>
      </rPr>
      <t>+</t>
    </r>
    <r>
      <rPr>
        <sz val="10"/>
        <color rgb="FFFFC000"/>
        <rFont val="Arial"/>
        <family val="2"/>
        <charset val="204"/>
      </rPr>
      <t>Сонлце</t>
    </r>
    <r>
      <rPr>
        <sz val="11"/>
        <color theme="1"/>
        <rFont val="Calibri"/>
        <family val="2"/>
        <scheme val="minor"/>
      </rPr>
      <t>(18)</t>
    </r>
  </si>
  <si>
    <t>Виверна</t>
  </si>
  <si>
    <t>Тролль</t>
  </si>
  <si>
    <t>Оружие и броня</t>
  </si>
  <si>
    <t>Отношения(Очки)</t>
  </si>
  <si>
    <r>
      <rPr>
        <sz val="10"/>
        <color rgb="FFB7E1CD"/>
        <rFont val="Arial"/>
        <family val="2"/>
        <charset val="204"/>
      </rPr>
      <t>Эфир</t>
    </r>
    <r>
      <rPr>
        <sz val="11"/>
        <color theme="1"/>
        <rFont val="Calibri"/>
        <family val="2"/>
        <scheme val="minor"/>
      </rPr>
      <t>+</t>
    </r>
    <r>
      <rPr>
        <sz val="10"/>
        <color rgb="FF92D050"/>
        <rFont val="Arial"/>
        <family val="2"/>
        <charset val="204"/>
      </rPr>
      <t>Аер</t>
    </r>
    <r>
      <rPr>
        <sz val="11"/>
        <color theme="1"/>
        <rFont val="Calibri"/>
        <family val="2"/>
        <scheme val="minor"/>
      </rPr>
      <t>(14)</t>
    </r>
  </si>
  <si>
    <r>
      <rPr>
        <sz val="10"/>
        <color rgb="FFB7E1CD"/>
        <rFont val="Arial"/>
        <family val="2"/>
        <charset val="204"/>
      </rPr>
      <t>Эфир</t>
    </r>
    <r>
      <rPr>
        <sz val="11"/>
        <color theme="1"/>
        <rFont val="Calibri"/>
        <family val="2"/>
        <scheme val="minor"/>
      </rPr>
      <t>+</t>
    </r>
    <r>
      <rPr>
        <sz val="10"/>
        <color rgb="FF993366"/>
        <rFont val="Arial"/>
        <family val="2"/>
        <charset val="204"/>
      </rPr>
      <t>Купорос</t>
    </r>
    <r>
      <rPr>
        <sz val="11"/>
        <color theme="1"/>
        <rFont val="Calibri"/>
        <family val="2"/>
        <scheme val="minor"/>
      </rPr>
      <t>(15)</t>
    </r>
  </si>
  <si>
    <r>
      <rPr>
        <sz val="10"/>
        <color rgb="FF92D050"/>
        <rFont val="Arial"/>
        <family val="2"/>
        <charset val="204"/>
      </rPr>
      <t>Аер</t>
    </r>
    <r>
      <rPr>
        <sz val="11"/>
        <color theme="1"/>
        <rFont val="Calibri"/>
        <family val="2"/>
        <scheme val="minor"/>
      </rPr>
      <t>+</t>
    </r>
    <r>
      <rPr>
        <sz val="10"/>
        <color rgb="FF3366FF"/>
        <rFont val="Arial"/>
        <family val="2"/>
        <charset val="204"/>
      </rPr>
      <t>Гидраген</t>
    </r>
    <r>
      <rPr>
        <sz val="11"/>
        <color theme="1"/>
        <rFont val="Calibri"/>
        <family val="2"/>
        <scheme val="minor"/>
      </rPr>
      <t>(17)</t>
    </r>
  </si>
  <si>
    <t>Грифон</t>
  </si>
  <si>
    <t>Бес</t>
  </si>
  <si>
    <r>
      <rPr>
        <sz val="10"/>
        <color rgb="FF00B050"/>
        <rFont val="Arial"/>
        <family val="2"/>
        <charset val="204"/>
      </rPr>
      <t>Киноварь</t>
    </r>
    <r>
      <rPr>
        <sz val="11"/>
        <color theme="1"/>
        <rFont val="Calibri"/>
        <family val="2"/>
        <scheme val="minor"/>
      </rPr>
      <t>+</t>
    </r>
    <r>
      <rPr>
        <sz val="10"/>
        <color rgb="FFFFC000"/>
        <rFont val="Arial"/>
        <family val="2"/>
        <charset val="204"/>
      </rPr>
      <t>Солнце</t>
    </r>
    <r>
      <rPr>
        <sz val="11"/>
        <color theme="1"/>
        <rFont val="Calibri"/>
        <family val="2"/>
        <scheme val="minor"/>
      </rPr>
      <t>(15)</t>
    </r>
  </si>
  <si>
    <t>Кладбищенская баба</t>
  </si>
  <si>
    <t xml:space="preserve">Волколак </t>
  </si>
  <si>
    <t>Лечение критических ранений</t>
  </si>
  <si>
    <t>Крепче стали(Тел)</t>
  </si>
  <si>
    <t>Профессиональная паранойя(Инт)</t>
  </si>
  <si>
    <t>Быстрый ремонт(Рем)</t>
  </si>
  <si>
    <t>Стрелок</t>
  </si>
  <si>
    <t>Потрошитель</t>
  </si>
  <si>
    <t>Вор</t>
  </si>
  <si>
    <t>Атаман</t>
  </si>
  <si>
    <t>Ассасин</t>
  </si>
  <si>
    <t>Оружейник</t>
  </si>
  <si>
    <t>Импровизатор</t>
  </si>
  <si>
    <t>Максимальная дистанция (Лвк)</t>
  </si>
  <si>
    <t>Ищейка (Инт)</t>
  </si>
  <si>
    <t>Неистовство  (Воля)</t>
  </si>
  <si>
    <t>Присмотреться (Инт)</t>
  </si>
  <si>
    <t>Уязвимость (Эмп)</t>
  </si>
  <si>
    <t>Прицеливание (Лвк)</t>
  </si>
  <si>
    <t xml:space="preserve">Большой каталог (Инт) </t>
  </si>
  <si>
    <t xml:space="preserve">Список лекарств (Инт) </t>
  </si>
  <si>
    <t xml:space="preserve">Улучшение (Рем) </t>
  </si>
  <si>
    <t>Двойной выстрел (Лвк)</t>
  </si>
  <si>
    <t>Ловушка воина (Рем)</t>
  </si>
  <si>
    <t>Двуручник (Тел)</t>
  </si>
  <si>
    <t>Повторный взлом (Инт)</t>
  </si>
  <si>
    <t xml:space="preserve">Взять на заметку (Воля) </t>
  </si>
  <si>
    <t>Прямо в глаз (Лвк)</t>
  </si>
  <si>
    <t xml:space="preserve">Подмастерье (Рем) </t>
  </si>
  <si>
    <t xml:space="preserve">Двойная порция (Рем) </t>
  </si>
  <si>
    <t xml:space="preserve">Серебрение (Рем) </t>
  </si>
  <si>
    <t>Точный прицел (Лвк)</t>
  </si>
  <si>
    <t>Тактическое преимущество (Инт)</t>
  </si>
  <si>
    <t>Игнорировать удар (Тел)</t>
  </si>
  <si>
    <t>Залечь на дно (Инт)</t>
  </si>
  <si>
    <t>Сбор (Воля)</t>
  </si>
  <si>
    <t>Удар ассасина (Лвк)</t>
  </si>
  <si>
    <t xml:space="preserve">Мастерская работа (Рем) </t>
  </si>
  <si>
    <t xml:space="preserve">Адаптация (Рем) </t>
  </si>
  <si>
    <t xml:space="preserve">Прицельный удар (Рем) </t>
  </si>
  <si>
    <t>Ловушка воина(СЛ)</t>
  </si>
  <si>
    <t>Блокирование Двойного выстрела</t>
  </si>
  <si>
    <t>Залечь на дно(Стоимость)</t>
  </si>
  <si>
    <t>Удар ассасина (Мод)</t>
  </si>
  <si>
    <t>Улучшение(СЛ)</t>
  </si>
  <si>
    <t xml:space="preserve">Серебрение </t>
  </si>
  <si>
    <t>Опутывающая(14)</t>
  </si>
  <si>
    <t>Обезоруживающая(18)</t>
  </si>
  <si>
    <t>Расположение</t>
  </si>
  <si>
    <t>Меры безопасности(несколько)</t>
  </si>
  <si>
    <t>Оружие</t>
  </si>
  <si>
    <t>Слишком много поломок</t>
  </si>
  <si>
    <t>Ослепляющая(16)</t>
  </si>
  <si>
    <t>Подсекающая(14)</t>
  </si>
  <si>
    <t>Преимущество(несколько)</t>
  </si>
  <si>
    <t>Кровопускательная(18)</t>
  </si>
  <si>
    <t>Дезориентирующая(16)</t>
  </si>
  <si>
    <t>Мужской</t>
  </si>
  <si>
    <t>Женский</t>
  </si>
  <si>
    <t>Allemert</t>
  </si>
  <si>
    <t>Fellord</t>
  </si>
  <si>
    <t>Bilcosal</t>
  </si>
  <si>
    <t>Rernom</t>
  </si>
  <si>
    <t>Sildwimet Of Aldersberg</t>
  </si>
  <si>
    <t>Blolirt</t>
  </si>
  <si>
    <t>Ludrald Of Hoarton</t>
  </si>
  <si>
    <t>Ledremel Of Rosberg</t>
  </si>
  <si>
    <t>Fygom</t>
  </si>
  <si>
    <t>Idrut</t>
  </si>
  <si>
    <t>Аэдирн</t>
  </si>
  <si>
    <t>Nadave Of Kalkar</t>
  </si>
  <si>
    <t>Enno Of Velkart</t>
  </si>
  <si>
    <t>Nalie</t>
  </si>
  <si>
    <t>Fefna</t>
  </si>
  <si>
    <t>Alne</t>
  </si>
  <si>
    <t>Desheh</t>
  </si>
  <si>
    <t>Afos</t>
  </si>
  <si>
    <t>Zafras</t>
  </si>
  <si>
    <t>Lamor Of Velkart</t>
  </si>
  <si>
    <t>Fephe Of Hoarton</t>
  </si>
  <si>
    <t>Королества Севера</t>
  </si>
  <si>
    <t>Редания</t>
  </si>
  <si>
    <t>Каэдвен</t>
  </si>
  <si>
    <t>Темерия</t>
  </si>
  <si>
    <t>Лирия и Ривия</t>
  </si>
  <si>
    <t>Ковир и Повис</t>
  </si>
  <si>
    <t>Цидарис</t>
  </si>
  <si>
    <t>Вердэн</t>
  </si>
  <si>
    <t>Цинтра</t>
  </si>
  <si>
    <t>Бонус</t>
  </si>
  <si>
    <t>к</t>
  </si>
  <si>
    <t>Изготовление</t>
  </si>
  <si>
    <t>Сопротивление убеждению</t>
  </si>
  <si>
    <t>Нильфгард</t>
  </si>
  <si>
    <t>Сердце Нильфгаарда</t>
  </si>
  <si>
    <t>Обману</t>
  </si>
  <si>
    <t>Виковаро</t>
  </si>
  <si>
    <t>Ангрен</t>
  </si>
  <si>
    <t>Назаир</t>
  </si>
  <si>
    <t>Метинна</t>
  </si>
  <si>
    <t>Маг Турга</t>
  </si>
  <si>
    <t>Гесо</t>
  </si>
  <si>
    <t>Эббинг</t>
  </si>
  <si>
    <t>Мехт</t>
  </si>
  <si>
    <t>Геммера</t>
  </si>
  <si>
    <t>Этолия</t>
  </si>
  <si>
    <t>Доль Блатанна</t>
  </si>
  <si>
    <t>Регион</t>
  </si>
  <si>
    <t>Страна</t>
  </si>
  <si>
    <t>Сцепка Родины</t>
  </si>
  <si>
    <t xml:space="preserve">(+1 к дедукции) </t>
  </si>
  <si>
    <t>(+1 к Атлетике)</t>
  </si>
  <si>
    <t xml:space="preserve">(+1 к внимательности) </t>
  </si>
  <si>
    <t>Имунны к болезням</t>
  </si>
  <si>
    <t>+25 к переносимому весу</t>
  </si>
  <si>
    <t>(+1 к Бизнесу)</t>
  </si>
  <si>
    <t>(+1 к Силе</t>
  </si>
  <si>
    <t>(+2 ПБ естесств. Броня)</t>
  </si>
  <si>
    <t>(+1 к Искусствам)</t>
  </si>
  <si>
    <t xml:space="preserve"> (+2 к Стрельбе из Лука)</t>
  </si>
  <si>
    <t xml:space="preserve"> (животные не нападают сами) </t>
  </si>
  <si>
    <t>могут автоматически находить травы</t>
  </si>
  <si>
    <t xml:space="preserve"> (+2 к Выживанию и управлению\уходу за животными)</t>
  </si>
  <si>
    <t xml:space="preserve"> +5 к сопротивлению магии</t>
  </si>
  <si>
    <t>елья не оказывают положительного эффекта. Не могут быть Жрецами и Магами</t>
  </si>
  <si>
    <t>Могут 3 раза за сессию перебросить</t>
  </si>
  <si>
    <t xml:space="preserve"> пров. проверки Храбрости и Сопр. Убеждению</t>
  </si>
  <si>
    <t xml:space="preserve"> (+1  к Реакции и Ловкости</t>
  </si>
  <si>
    <t xml:space="preserve"> (-4 к Эмпатии)</t>
  </si>
  <si>
    <t xml:space="preserve"> (+1 Харизма, Убеждение, Соблазнение пр. людей) </t>
  </si>
  <si>
    <t>Уровень Энергии</t>
  </si>
  <si>
    <t>(Тел+Воля)/2</t>
  </si>
  <si>
    <t>ПЗ</t>
  </si>
  <si>
    <t>ВЫН</t>
  </si>
  <si>
    <t>Отдых</t>
  </si>
  <si>
    <t>Уст</t>
  </si>
  <si>
    <t>Пять на выбор</t>
  </si>
  <si>
    <t>Владение 
легкими клинками</t>
  </si>
  <si>
    <t>Владение 
древковым оружием</t>
  </si>
  <si>
    <t>подделывание</t>
  </si>
  <si>
    <t>Первая Помощь</t>
  </si>
  <si>
    <t>Один на выбор</t>
  </si>
  <si>
    <t>Затем оставте выделение цветом где навыки, которые выбраны в тех местах, где был выбор</t>
  </si>
  <si>
    <t>Язык (2 на выбор)</t>
  </si>
  <si>
    <t>Стрельба 
из арбалета</t>
  </si>
  <si>
    <t>Понимание людей*</t>
  </si>
  <si>
    <t>Прчиёска</t>
  </si>
  <si>
    <t>Украшение</t>
  </si>
  <si>
    <t>Военная форма</t>
  </si>
  <si>
    <t>Одежда для путешествий</t>
  </si>
  <si>
    <t>Роскошная одежда</t>
  </si>
  <si>
    <t>Потрёпанная одежда</t>
  </si>
  <si>
    <t>Традиционная одежда</t>
  </si>
  <si>
    <t>Практичная одежда</t>
  </si>
  <si>
    <t>Откртыая одежда</t>
  </si>
  <si>
    <t>Теплая одежда</t>
  </si>
  <si>
    <t>Странная одежда</t>
  </si>
  <si>
    <t>Вычурная одежда</t>
  </si>
  <si>
    <t>Скрытный</t>
  </si>
  <si>
    <t>Непокорый</t>
  </si>
  <si>
    <t>Вспыльчивый</t>
  </si>
  <si>
    <t>Идеалистичный</t>
  </si>
  <si>
    <t>Вдумчивый</t>
  </si>
  <si>
    <t>Суровый</t>
  </si>
  <si>
    <t>Коварный</t>
  </si>
  <si>
    <t>Дружелюбный</t>
  </si>
  <si>
    <t>Надменный</t>
  </si>
  <si>
    <t>Нервозный</t>
  </si>
  <si>
    <t>Длинные распущенные волосы</t>
  </si>
  <si>
    <t>Коротко остриженные волосы</t>
  </si>
  <si>
    <t>Самостоятельно отсриженные волосы</t>
  </si>
  <si>
    <t>Заплетенные в косу волосы</t>
  </si>
  <si>
    <t>Длинные растрепанные волосы</t>
  </si>
  <si>
    <t>Лысая голова</t>
  </si>
  <si>
    <t>Лвоенная стрижка</t>
  </si>
  <si>
    <t>Лохматые гряхыне волосы</t>
  </si>
  <si>
    <t>Сложная прическа</t>
  </si>
  <si>
    <t>Выбритые виски</t>
  </si>
  <si>
    <t>Трофеи</t>
  </si>
  <si>
    <t>Кольца и драгоценностиБезделушки</t>
  </si>
  <si>
    <t>Татуировки</t>
  </si>
  <si>
    <t>Боевая раскраска</t>
  </si>
  <si>
    <t>Темный плащ</t>
  </si>
  <si>
    <t>Яркие банданы</t>
  </si>
  <si>
    <t>Повязка на глаз</t>
  </si>
  <si>
    <t>Меха</t>
  </si>
  <si>
    <t>Эмблемы и значки</t>
  </si>
  <si>
    <t>Безделушки</t>
  </si>
  <si>
    <t>Что думает об окружающих</t>
  </si>
  <si>
    <t>Бата/сестру</t>
  </si>
  <si>
    <t>Возлюбленную</t>
  </si>
  <si>
    <t>Друга</t>
  </si>
  <si>
    <t>Себя</t>
  </si>
  <si>
    <t>Питомца</t>
  </si>
  <si>
    <t>Наставника</t>
  </si>
  <si>
    <t>Публичную личность</t>
  </si>
  <si>
    <t>Никого</t>
  </si>
  <si>
    <t>Деньги</t>
  </si>
  <si>
    <t>Честь</t>
  </si>
  <si>
    <t>Своё слово</t>
  </si>
  <si>
    <t>Земные удовольствия</t>
  </si>
  <si>
    <t>Знание</t>
  </si>
  <si>
    <t>Месть</t>
  </si>
  <si>
    <t>Силу</t>
  </si>
  <si>
    <t>Любовь</t>
  </si>
  <si>
    <t>Выживание</t>
  </si>
  <si>
    <t>Дружбу</t>
  </si>
  <si>
    <t>Личного героя</t>
  </si>
  <si>
    <t>Все вокруг - инструменты, которыми можно пользоваться</t>
  </si>
  <si>
    <t>Наш народ- лучший, плевать на остальных</t>
  </si>
  <si>
    <t>Другим доверять нельзя</t>
  </si>
  <si>
    <t>Пускай другие сначала себя покажут</t>
  </si>
  <si>
    <t>Нейтральное отношение</t>
  </si>
  <si>
    <t>Плохих люде не бывает</t>
  </si>
  <si>
    <t>Все залсуживают смерти</t>
  </si>
  <si>
    <t>Вокруг одни самовлюбленные свиньи</t>
  </si>
  <si>
    <t>Ценна любвая жизнь</t>
  </si>
  <si>
    <t>Броня, Другое снаряжение</t>
  </si>
  <si>
    <t>Ёмкость</t>
  </si>
  <si>
    <t xml:space="preserve"> </t>
  </si>
  <si>
    <t>Брата/сестру</t>
  </si>
  <si>
    <t>-</t>
  </si>
  <si>
    <t>НПЦ</t>
  </si>
  <si>
    <t>Укус</t>
  </si>
  <si>
    <t>СА 1</t>
  </si>
  <si>
    <t>2d6</t>
  </si>
  <si>
    <t>Выслеживание по запаху</t>
  </si>
  <si>
    <t>Ночное зрение</t>
  </si>
  <si>
    <t>Нет штрафа за слабое освещение</t>
  </si>
  <si>
    <t>Вожак</t>
  </si>
  <si>
    <t>Если есть варг +4 к храбрости и волки действуют слаженно</t>
  </si>
  <si>
    <t>Варг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</si>
</sst>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1">
    <font>
      <sz val="11"/>
      <color theme="1"/>
      <name val="Calibri"/>
      <family val="2"/>
      <scheme val="minor"/>
    </font>
    <font>
      <sz val="11"/>
      <color theme="1"/>
      <name val="Times New Roman"/>
      <family val="1"/>
    </font>
    <font>
      <sz val="8"/>
      <color theme="1"/>
      <name val="Times New Roman"/>
      <family val="1"/>
    </font>
    <font>
      <sz val="10"/>
      <color theme="1"/>
      <name val="Times New Roman"/>
      <family val="1"/>
    </font>
    <font>
      <sz val="6"/>
      <color theme="1"/>
      <name val="Times New Roman"/>
      <family val="1"/>
    </font>
    <font>
      <sz val="6"/>
      <color theme="1"/>
      <name val="Times New Roman"/>
      <family val="1"/>
      <charset val="204"/>
    </font>
    <font>
      <sz val="11"/>
      <name val="Times New Roman"/>
      <family val="1"/>
    </font>
    <font>
      <sz val="7"/>
      <color theme="1"/>
      <name val="Times New Roman"/>
      <family val="1"/>
    </font>
    <font>
      <b/>
      <sz val="11"/>
      <color theme="1"/>
      <name val="Calibri"/>
      <family val="2"/>
      <charset val="204"/>
      <scheme val="minor"/>
    </font>
    <font>
      <sz val="11"/>
      <color theme="1"/>
      <name val="Calibri"/>
      <family val="2"/>
      <charset val="204"/>
    </font>
    <font>
      <sz val="11"/>
      <color theme="1"/>
      <name val="Arial"/>
      <family val="2"/>
      <charset val="204"/>
    </font>
    <font>
      <b/>
      <sz val="12"/>
      <color theme="1"/>
      <name val="Calibri"/>
      <family val="2"/>
      <charset val="204"/>
    </font>
    <font>
      <sz val="11"/>
      <color theme="1"/>
      <name val="Calibri"/>
      <family val="2"/>
      <charset val="204"/>
    </font>
    <font>
      <b/>
      <sz val="11"/>
      <name val="Arial"/>
      <family val="2"/>
      <charset val="204"/>
    </font>
    <font>
      <b/>
      <i/>
      <sz val="11"/>
      <name val="Arial"/>
      <family val="2"/>
      <charset val="204"/>
    </font>
    <font>
      <b/>
      <sz val="11"/>
      <color theme="1"/>
      <name val="Calibri"/>
      <family val="2"/>
      <charset val="204"/>
    </font>
    <font>
      <b/>
      <i/>
      <sz val="11"/>
      <color rgb="FF674EA7"/>
      <name val="Calibri"/>
      <family val="2"/>
      <charset val="204"/>
    </font>
    <font>
      <i/>
      <sz val="11"/>
      <color theme="1"/>
      <name val="Calibri"/>
      <family val="2"/>
      <charset val="204"/>
    </font>
    <font>
      <b/>
      <sz val="18"/>
      <color theme="1"/>
      <name val="Calibri"/>
      <family val="2"/>
      <charset val="204"/>
    </font>
    <font>
      <b/>
      <sz val="14"/>
      <color theme="1"/>
      <name val="Calibri"/>
      <family val="2"/>
      <charset val="204"/>
    </font>
    <font>
      <sz val="11"/>
      <name val="Arial"/>
      <family val="2"/>
      <charset val="204"/>
    </font>
    <font>
      <i/>
      <sz val="8"/>
      <color theme="1"/>
      <name val="Calibri"/>
      <family val="2"/>
      <charset val="204"/>
    </font>
    <font>
      <b/>
      <sz val="18"/>
      <color theme="1"/>
      <name val="Bree Serif"/>
    </font>
    <font>
      <b/>
      <sz val="11"/>
      <color theme="1"/>
      <name val="Bree Serif"/>
    </font>
    <font>
      <sz val="11"/>
      <color theme="1"/>
      <name val="Caveat"/>
    </font>
    <font>
      <sz val="10"/>
      <color rgb="FF000000"/>
      <name val="Arial"/>
      <family val="2"/>
      <charset val="204"/>
    </font>
    <font>
      <b/>
      <sz val="18"/>
      <color theme="1"/>
      <name val="Times New Roman"/>
      <family val="1"/>
      <charset val="204"/>
    </font>
    <font>
      <sz val="10"/>
      <name val="Arial"/>
      <family val="2"/>
      <charset val="204"/>
    </font>
    <font>
      <sz val="10"/>
      <color theme="1"/>
      <name val="Times New Roman"/>
      <family val="1"/>
      <charset val="204"/>
    </font>
    <font>
      <b/>
      <sz val="18"/>
      <color rgb="FF000000"/>
      <name val="Times New Roman"/>
      <family val="1"/>
      <charset val="204"/>
    </font>
    <font>
      <b/>
      <sz val="10"/>
      <color theme="1"/>
      <name val="Times New Roman"/>
      <family val="1"/>
      <charset val="204"/>
    </font>
    <font>
      <b/>
      <sz val="10"/>
      <color rgb="FF000000"/>
      <name val="Times New Roman"/>
      <family val="1"/>
      <charset val="204"/>
    </font>
    <font>
      <b/>
      <sz val="11"/>
      <color theme="1"/>
      <name val="Times New Roman"/>
      <family val="1"/>
      <charset val="204"/>
    </font>
    <font>
      <b/>
      <sz val="11"/>
      <color rgb="FF000000"/>
      <name val="Times New Roman"/>
      <family val="1"/>
      <charset val="204"/>
    </font>
    <font>
      <b/>
      <sz val="10"/>
      <color rgb="FF3C78D8"/>
      <name val="Times New Roman"/>
      <family val="1"/>
      <charset val="204"/>
    </font>
    <font>
      <b/>
      <sz val="10"/>
      <color rgb="FF6AA84F"/>
      <name val="Times New Roman"/>
      <family val="1"/>
      <charset val="204"/>
    </font>
    <font>
      <b/>
      <sz val="10"/>
      <color rgb="FFCC0000"/>
      <name val="Times New Roman"/>
      <family val="1"/>
      <charset val="204"/>
    </font>
    <font>
      <b/>
      <sz val="11"/>
      <color rgb="FF6AA84F"/>
      <name val="Times New Roman"/>
      <family val="1"/>
      <charset val="204"/>
    </font>
    <font>
      <b/>
      <sz val="11"/>
      <color rgb="FFE69138"/>
      <name val="Times New Roman"/>
      <family val="1"/>
      <charset val="204"/>
    </font>
    <font>
      <b/>
      <sz val="11"/>
      <color rgb="FFCC0000"/>
      <name val="Times New Roman"/>
      <family val="1"/>
      <charset val="204"/>
    </font>
    <font>
      <sz val="10"/>
      <color rgb="FFCC0000"/>
      <name val="Arial"/>
      <family val="2"/>
      <charset val="204"/>
    </font>
    <font>
      <sz val="10"/>
      <color rgb="FF6AA84F"/>
      <name val="Arial"/>
      <family val="2"/>
      <charset val="204"/>
    </font>
    <font>
      <b/>
      <sz val="10"/>
      <color rgb="FFE69138"/>
      <name val="Times New Roman"/>
      <family val="1"/>
      <charset val="204"/>
    </font>
    <font>
      <sz val="10"/>
      <color rgb="FF993366"/>
      <name val="Arial"/>
      <family val="2"/>
      <charset val="204"/>
    </font>
    <font>
      <sz val="10"/>
      <color rgb="FFED7D31"/>
      <name val="Arial"/>
      <family val="2"/>
      <charset val="204"/>
    </font>
    <font>
      <sz val="10"/>
      <color rgb="FFC00000"/>
      <name val="Arial"/>
      <family val="2"/>
      <charset val="204"/>
    </font>
    <font>
      <sz val="10"/>
      <color rgb="FF00B050"/>
      <name val="Arial"/>
      <family val="2"/>
      <charset val="204"/>
    </font>
    <font>
      <sz val="10"/>
      <color rgb="FFE1E600"/>
      <name val="Arial"/>
      <family val="2"/>
      <charset val="204"/>
    </font>
    <font>
      <sz val="10"/>
      <color rgb="FF000000"/>
      <name val="Times New Roman"/>
      <family val="1"/>
      <charset val="204"/>
    </font>
    <font>
      <sz val="10"/>
      <color rgb="FFFFC000"/>
      <name val="Arial"/>
      <family val="2"/>
      <charset val="204"/>
    </font>
    <font>
      <sz val="10"/>
      <color rgb="FF3366FF"/>
      <name val="Arial"/>
      <family val="2"/>
      <charset val="204"/>
    </font>
    <font>
      <sz val="10"/>
      <color rgb="FFB7E1CD"/>
      <name val="Arial"/>
      <family val="2"/>
      <charset val="204"/>
    </font>
    <font>
      <sz val="10"/>
      <color rgb="FF92D050"/>
      <name val="Arial"/>
      <family val="2"/>
      <charset val="204"/>
    </font>
    <font>
      <sz val="10"/>
      <color rgb="FFC00000"/>
      <name val="Times New Roman"/>
      <family val="1"/>
      <charset val="204"/>
    </font>
    <font>
      <b/>
      <sz val="10"/>
      <color theme="1"/>
      <name val="Bree Serif"/>
    </font>
    <font>
      <sz val="10"/>
      <color theme="1"/>
      <name val="Calibri"/>
      <family val="2"/>
      <charset val="204"/>
    </font>
    <font>
      <b/>
      <sz val="10"/>
      <color theme="1"/>
      <name val="Calibri"/>
      <family val="2"/>
      <charset val="204"/>
    </font>
    <font>
      <b/>
      <sz val="10"/>
      <color rgb="FF000000"/>
      <name val="Bree Serif"/>
    </font>
    <font>
      <sz val="10"/>
      <color rgb="FF000000"/>
      <name val="Calibri"/>
      <family val="2"/>
      <charset val="204"/>
    </font>
    <font>
      <sz val="11"/>
      <color theme="1"/>
      <name val="Arial"/>
      <family val="2"/>
      <charset val="204"/>
    </font>
    <font>
      <b/>
      <sz val="21"/>
      <color rgb="FF000000"/>
      <name val="Times New Roman"/>
      <family val="1"/>
      <charset val="204"/>
    </font>
    <font>
      <b/>
      <sz val="14"/>
      <color theme="1"/>
      <name val="Calibri"/>
      <family val="2"/>
      <charset val="204"/>
    </font>
    <font>
      <b/>
      <sz val="11"/>
      <color theme="1"/>
      <name val="Arial"/>
      <family val="2"/>
      <charset val="204"/>
    </font>
    <font>
      <sz val="10"/>
      <name val="Times New Roman"/>
      <family val="1"/>
    </font>
    <font>
      <sz val="11"/>
      <color theme="4" tint="0.79998168889431442"/>
      <name val="Times New Roman"/>
      <family val="1"/>
    </font>
    <font>
      <b/>
      <i/>
      <sz val="11"/>
      <color theme="1"/>
      <name val="Arial"/>
      <family val="2"/>
      <charset val="204"/>
    </font>
    <font>
      <b/>
      <i/>
      <sz val="11"/>
      <color theme="1"/>
      <name val="Calibri"/>
      <family val="2"/>
      <charset val="204"/>
    </font>
    <font>
      <b/>
      <sz val="11"/>
      <color theme="1"/>
      <name val="Calibri"/>
      <family val="2"/>
      <charset val="204"/>
    </font>
    <font>
      <sz val="11"/>
      <color theme="1"/>
      <name val="Times New Roman"/>
      <family val="1"/>
      <charset val="204"/>
    </font>
    <font>
      <sz val="8"/>
      <color theme="1"/>
      <name val="Times New Roman"/>
      <family val="1"/>
      <charset val="204"/>
    </font>
    <font>
      <sz val="10"/>
      <color theme="1"/>
      <name val="Times New Roman"/>
      <family val="1"/>
      <charset val="204"/>
    </font>
  </fonts>
  <fills count="11">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rgb="FFEFEFEF"/>
        <bgColor rgb="FFEFEFEF"/>
      </patternFill>
    </fill>
    <fill>
      <patternFill patternType="solid">
        <fgColor rgb="FFF3F3F3"/>
        <bgColor rgb="FFF3F3F3"/>
      </patternFill>
    </fill>
    <fill>
      <patternFill patternType="solid">
        <fgColor rgb="FF6D9EEB"/>
        <bgColor rgb="FF6D9EEB"/>
      </patternFill>
    </fill>
    <fill>
      <patternFill patternType="solid">
        <fgColor rgb="FF3C78D8"/>
        <bgColor rgb="FF3C78D8"/>
      </patternFill>
    </fill>
    <fill>
      <patternFill patternType="solid">
        <fgColor rgb="FF6AA84F"/>
        <bgColor rgb="FF6AA84F"/>
      </patternFill>
    </fill>
    <fill>
      <patternFill patternType="solid">
        <fgColor rgb="FFCC0000"/>
        <bgColor rgb="FFCC0000"/>
      </patternFill>
    </fill>
    <fill>
      <patternFill patternType="solid">
        <fgColor rgb="FFFFFF00"/>
        <bgColor indexed="64"/>
      </patternFill>
    </fill>
  </fills>
  <borders count="97">
    <border>
      <left/>
      <right/>
      <top/>
      <bottom/>
      <diagonal/>
    </border>
    <border>
      <left/>
      <right/>
      <top style="double">
        <color auto="1"/>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double">
        <color auto="1"/>
      </left>
      <right style="thin">
        <color auto="1"/>
      </right>
      <top style="double">
        <color auto="1"/>
      </top>
      <bottom style="thin">
        <color auto="1"/>
      </bottom>
      <diagonal/>
    </border>
    <border>
      <left style="thin">
        <color auto="1"/>
      </left>
      <right style="thin">
        <color auto="1"/>
      </right>
      <top style="double">
        <color auto="1"/>
      </top>
      <bottom style="thin">
        <color auto="1"/>
      </bottom>
      <diagonal/>
    </border>
    <border>
      <left style="thin">
        <color auto="1"/>
      </left>
      <right style="double">
        <color auto="1"/>
      </right>
      <top style="double">
        <color auto="1"/>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style="double">
        <color auto="1"/>
      </bottom>
      <diagonal/>
    </border>
    <border>
      <left style="thin">
        <color auto="1"/>
      </left>
      <right style="thin">
        <color auto="1"/>
      </right>
      <top style="thin">
        <color auto="1"/>
      </top>
      <bottom style="double">
        <color auto="1"/>
      </bottom>
      <diagonal/>
    </border>
    <border>
      <left style="thin">
        <color auto="1"/>
      </left>
      <right style="double">
        <color auto="1"/>
      </right>
      <top style="thin">
        <color auto="1"/>
      </top>
      <bottom style="double">
        <color auto="1"/>
      </bottom>
      <diagonal/>
    </border>
    <border>
      <left style="double">
        <color auto="1"/>
      </left>
      <right/>
      <top style="double">
        <color auto="1"/>
      </top>
      <bottom style="thin">
        <color auto="1"/>
      </bottom>
      <diagonal/>
    </border>
    <border>
      <left/>
      <right/>
      <top style="double">
        <color auto="1"/>
      </top>
      <bottom style="thin">
        <color auto="1"/>
      </bottom>
      <diagonal/>
    </border>
    <border>
      <left/>
      <right style="double">
        <color auto="1"/>
      </right>
      <top style="double">
        <color auto="1"/>
      </top>
      <bottom style="thin">
        <color auto="1"/>
      </bottom>
      <diagonal/>
    </border>
    <border>
      <left/>
      <right style="double">
        <color auto="1"/>
      </right>
      <top/>
      <bottom style="thin">
        <color auto="1"/>
      </bottom>
      <diagonal/>
    </border>
    <border>
      <left style="double">
        <color auto="1"/>
      </left>
      <right/>
      <top style="thin">
        <color auto="1"/>
      </top>
      <bottom style="thin">
        <color auto="1"/>
      </bottom>
      <diagonal/>
    </border>
    <border>
      <left/>
      <right/>
      <top style="thin">
        <color auto="1"/>
      </top>
      <bottom style="thin">
        <color auto="1"/>
      </bottom>
      <diagonal/>
    </border>
    <border>
      <left/>
      <right style="double">
        <color auto="1"/>
      </right>
      <top style="thin">
        <color auto="1"/>
      </top>
      <bottom style="thin">
        <color auto="1"/>
      </bottom>
      <diagonal/>
    </border>
    <border>
      <left style="double">
        <color auto="1"/>
      </left>
      <right/>
      <top style="thin">
        <color auto="1"/>
      </top>
      <bottom style="double">
        <color auto="1"/>
      </bottom>
      <diagonal/>
    </border>
    <border>
      <left/>
      <right/>
      <top style="thin">
        <color auto="1"/>
      </top>
      <bottom style="double">
        <color auto="1"/>
      </bottom>
      <diagonal/>
    </border>
    <border>
      <left/>
      <right style="double">
        <color auto="1"/>
      </right>
      <top style="thin">
        <color auto="1"/>
      </top>
      <bottom style="double">
        <color auto="1"/>
      </bottom>
      <diagonal/>
    </border>
    <border>
      <left/>
      <right style="thin">
        <color indexed="64"/>
      </right>
      <top style="thin">
        <color auto="1"/>
      </top>
      <bottom style="thin">
        <color indexed="64"/>
      </bottom>
      <diagonal/>
    </border>
    <border>
      <left/>
      <right style="thin">
        <color auto="1"/>
      </right>
      <top style="thin">
        <color auto="1"/>
      </top>
      <bottom style="double">
        <color auto="1"/>
      </bottom>
      <diagonal/>
    </border>
    <border>
      <left style="thin">
        <color auto="1"/>
      </left>
      <right/>
      <top style="double">
        <color auto="1"/>
      </top>
      <bottom style="thin">
        <color indexed="64"/>
      </bottom>
      <diagonal/>
    </border>
    <border>
      <left style="thin">
        <color indexed="64"/>
      </left>
      <right/>
      <top style="thin">
        <color indexed="64"/>
      </top>
      <bottom style="thin">
        <color auto="1"/>
      </bottom>
      <diagonal/>
    </border>
    <border>
      <left/>
      <right style="thin">
        <color auto="1"/>
      </right>
      <top style="double">
        <color auto="1"/>
      </top>
      <bottom style="thin">
        <color auto="1"/>
      </bottom>
      <diagonal/>
    </border>
    <border>
      <left style="double">
        <color auto="1"/>
      </left>
      <right/>
      <top style="thin">
        <color auto="1"/>
      </top>
      <bottom/>
      <diagonal/>
    </border>
    <border>
      <left style="double">
        <color auto="1"/>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double">
        <color auto="1"/>
      </right>
      <top style="thin">
        <color indexed="64"/>
      </top>
      <bottom/>
      <diagonal/>
    </border>
    <border>
      <left/>
      <right style="thin">
        <color auto="1"/>
      </right>
      <top/>
      <bottom style="double">
        <color auto="1"/>
      </bottom>
      <diagonal/>
    </border>
    <border>
      <left style="thin">
        <color auto="1"/>
      </left>
      <right style="double">
        <color auto="1"/>
      </right>
      <top style="thin">
        <color auto="1"/>
      </top>
      <bottom/>
      <diagonal/>
    </border>
    <border>
      <left style="thin">
        <color auto="1"/>
      </left>
      <right style="double">
        <color auto="1"/>
      </right>
      <top/>
      <bottom/>
      <diagonal/>
    </border>
    <border>
      <left style="thin">
        <color auto="1"/>
      </left>
      <right style="double">
        <color auto="1"/>
      </right>
      <top/>
      <bottom style="double">
        <color auto="1"/>
      </bottom>
      <diagonal/>
    </border>
    <border>
      <left style="double">
        <color auto="1"/>
      </left>
      <right style="thin">
        <color auto="1"/>
      </right>
      <top style="thin">
        <color auto="1"/>
      </top>
      <bottom/>
      <diagonal/>
    </border>
    <border>
      <left style="double">
        <color auto="1"/>
      </left>
      <right style="thin">
        <color auto="1"/>
      </right>
      <top/>
      <bottom style="thin">
        <color auto="1"/>
      </bottom>
      <diagonal/>
    </border>
    <border>
      <left style="double">
        <color auto="1"/>
      </left>
      <right style="thin">
        <color auto="1"/>
      </right>
      <top style="double">
        <color auto="1"/>
      </top>
      <bottom/>
      <diagonal/>
    </border>
    <border>
      <left style="double">
        <color auto="1"/>
      </left>
      <right style="thin">
        <color auto="1"/>
      </right>
      <top/>
      <bottom/>
      <diagonal/>
    </border>
    <border>
      <left style="double">
        <color auto="1"/>
      </left>
      <right style="thin">
        <color auto="1"/>
      </right>
      <top/>
      <bottom style="double">
        <color auto="1"/>
      </bottom>
      <diagonal/>
    </border>
    <border>
      <left style="thin">
        <color auto="1"/>
      </left>
      <right style="double">
        <color auto="1"/>
      </right>
      <top/>
      <bottom style="thin">
        <color auto="1"/>
      </bottom>
      <diagonal/>
    </border>
    <border>
      <left style="thin">
        <color indexed="64"/>
      </left>
      <right style="thin">
        <color indexed="64"/>
      </right>
      <top/>
      <bottom/>
      <diagonal/>
    </border>
    <border>
      <left style="thin">
        <color indexed="64"/>
      </left>
      <right style="thin">
        <color auto="1"/>
      </right>
      <top/>
      <bottom style="double">
        <color auto="1"/>
      </bottom>
      <diagonal/>
    </border>
    <border>
      <left style="thin">
        <color auto="1"/>
      </left>
      <right style="double">
        <color auto="1"/>
      </right>
      <top style="double">
        <color auto="1"/>
      </top>
      <bottom/>
      <diagonal/>
    </border>
    <border>
      <left style="thin">
        <color indexed="64"/>
      </left>
      <right/>
      <top/>
      <bottom style="double">
        <color auto="1"/>
      </bottom>
      <diagonal/>
    </border>
    <border>
      <left style="thin">
        <color auto="1"/>
      </left>
      <right/>
      <top style="thin">
        <color auto="1"/>
      </top>
      <bottom style="double">
        <color auto="1"/>
      </bottom>
      <diagonal/>
    </border>
    <border>
      <left style="thin">
        <color auto="1"/>
      </left>
      <right/>
      <top style="double">
        <color auto="1"/>
      </top>
      <bottom style="double">
        <color auto="1"/>
      </bottom>
      <diagonal/>
    </border>
    <border>
      <left/>
      <right/>
      <top style="double">
        <color auto="1"/>
      </top>
      <bottom style="double">
        <color auto="1"/>
      </bottom>
      <diagonal/>
    </border>
    <border>
      <left/>
      <right style="thin">
        <color auto="1"/>
      </right>
      <top style="double">
        <color auto="1"/>
      </top>
      <bottom style="double">
        <color auto="1"/>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style="double">
        <color auto="1"/>
      </left>
      <right/>
      <top style="medium">
        <color auto="1"/>
      </top>
      <bottom style="double">
        <color auto="1"/>
      </bottom>
      <diagonal/>
    </border>
    <border>
      <left/>
      <right/>
      <top style="medium">
        <color auto="1"/>
      </top>
      <bottom style="double">
        <color auto="1"/>
      </bottom>
      <diagonal/>
    </border>
    <border>
      <left/>
      <right style="thin">
        <color auto="1"/>
      </right>
      <top style="medium">
        <color auto="1"/>
      </top>
      <bottom style="double">
        <color auto="1"/>
      </bottom>
      <diagonal/>
    </border>
    <border>
      <left style="thin">
        <color auto="1"/>
      </left>
      <right/>
      <top style="medium">
        <color auto="1"/>
      </top>
      <bottom style="double">
        <color auto="1"/>
      </bottom>
      <diagonal/>
    </border>
    <border>
      <left/>
      <right style="double">
        <color auto="1"/>
      </right>
      <top style="medium">
        <color auto="1"/>
      </top>
      <bottom style="double">
        <color auto="1"/>
      </bottom>
      <diagonal/>
    </border>
    <border>
      <left style="thin">
        <color indexed="64"/>
      </left>
      <right/>
      <top style="thin">
        <color indexed="64"/>
      </top>
      <bottom style="medium">
        <color auto="1"/>
      </bottom>
      <diagonal/>
    </border>
    <border>
      <left/>
      <right/>
      <top style="thin">
        <color indexed="64"/>
      </top>
      <bottom style="medium">
        <color auto="1"/>
      </bottom>
      <diagonal/>
    </border>
    <border>
      <left/>
      <right style="double">
        <color auto="1"/>
      </right>
      <top style="thin">
        <color indexed="64"/>
      </top>
      <bottom style="medium">
        <color auto="1"/>
      </bottom>
      <diagonal/>
    </border>
    <border>
      <left style="double">
        <color auto="1"/>
      </left>
      <right/>
      <top style="thin">
        <color auto="1"/>
      </top>
      <bottom style="medium">
        <color auto="1"/>
      </bottom>
      <diagonal/>
    </border>
    <border>
      <left/>
      <right style="thin">
        <color indexed="64"/>
      </right>
      <top style="thin">
        <color auto="1"/>
      </top>
      <bottom style="medium">
        <color auto="1"/>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double">
        <color rgb="FF000000"/>
      </left>
      <right/>
      <top style="double">
        <color rgb="FF000000"/>
      </top>
      <bottom style="double">
        <color rgb="FF000000"/>
      </bottom>
      <diagonal/>
    </border>
    <border>
      <left/>
      <right/>
      <top style="double">
        <color rgb="FF000000"/>
      </top>
      <bottom style="double">
        <color rgb="FF000000"/>
      </bottom>
      <diagonal/>
    </border>
    <border>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style="double">
        <color rgb="FF000000"/>
      </bottom>
      <diagonal/>
    </border>
    <border>
      <left style="double">
        <color rgb="FF000000"/>
      </left>
      <right style="double">
        <color rgb="FF000000"/>
      </right>
      <top style="double">
        <color rgb="FF000000"/>
      </top>
      <bottom/>
      <diagonal/>
    </border>
    <border>
      <left style="double">
        <color rgb="FF000000"/>
      </left>
      <right style="double">
        <color rgb="FF000000"/>
      </right>
      <top/>
      <bottom style="double">
        <color rgb="FF000000"/>
      </bottom>
      <diagonal/>
    </border>
    <border>
      <left style="double">
        <color rgb="FF000000"/>
      </left>
      <right style="double">
        <color rgb="FF000000"/>
      </right>
      <top/>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0" fontId="10" fillId="0" borderId="0"/>
    <xf numFmtId="0" fontId="25" fillId="0" borderId="0"/>
  </cellStyleXfs>
  <cellXfs count="567">
    <xf numFmtId="0" fontId="0" fillId="0" borderId="0" xfId="0"/>
    <xf numFmtId="0" fontId="1" fillId="0" borderId="0" xfId="0" applyFont="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17" xfId="0" applyFont="1" applyBorder="1" applyAlignment="1">
      <alignment horizontal="center" vertical="center"/>
    </xf>
    <xf numFmtId="0" fontId="1" fillId="0" borderId="20" xfId="0" applyFont="1" applyBorder="1" applyAlignment="1">
      <alignment horizontal="center" vertical="center"/>
    </xf>
    <xf numFmtId="0" fontId="1" fillId="2" borderId="45" xfId="0" applyFont="1" applyFill="1" applyBorder="1" applyAlignment="1">
      <alignment horizontal="center" vertical="center"/>
    </xf>
    <xf numFmtId="0" fontId="1" fillId="0" borderId="15" xfId="0" applyFont="1" applyBorder="1" applyAlignment="1">
      <alignment horizontal="center" vertical="center"/>
    </xf>
    <xf numFmtId="0" fontId="1" fillId="0" borderId="1" xfId="0" applyFont="1" applyBorder="1" applyAlignment="1">
      <alignment horizontal="center" vertical="center"/>
    </xf>
    <xf numFmtId="0" fontId="1" fillId="2" borderId="17" xfId="0" applyFont="1" applyFill="1" applyBorder="1" applyAlignment="1">
      <alignment horizontal="center" vertical="center"/>
    </xf>
    <xf numFmtId="0" fontId="1" fillId="0" borderId="0" xfId="0" applyFont="1" applyAlignment="1">
      <alignment horizontal="center" vertical="center" wrapText="1"/>
    </xf>
    <xf numFmtId="0" fontId="1" fillId="0" borderId="15" xfId="0" applyFont="1" applyBorder="1" applyAlignment="1">
      <alignment horizontal="center" vertical="center"/>
    </xf>
    <xf numFmtId="0" fontId="1" fillId="0" borderId="17" xfId="0" applyFont="1" applyBorder="1" applyAlignment="1">
      <alignment horizontal="center" vertical="center"/>
    </xf>
    <xf numFmtId="0" fontId="1" fillId="2" borderId="13" xfId="0" applyFont="1" applyFill="1" applyBorder="1" applyAlignment="1">
      <alignment horizontal="center" vertical="center"/>
    </xf>
    <xf numFmtId="0" fontId="1" fillId="2" borderId="16" xfId="0" applyFont="1" applyFill="1" applyBorder="1" applyAlignment="1">
      <alignment horizontal="center" vertical="center"/>
    </xf>
    <xf numFmtId="0" fontId="1" fillId="0" borderId="28" xfId="0" applyFont="1" applyBorder="1" applyAlignment="1">
      <alignment horizontal="center" vertical="center"/>
    </xf>
    <xf numFmtId="0" fontId="1" fillId="0" borderId="30" xfId="0" applyFont="1" applyBorder="1" applyAlignment="1">
      <alignment horizontal="center" vertical="center"/>
    </xf>
    <xf numFmtId="0" fontId="1" fillId="0" borderId="42" xfId="0" applyFont="1" applyBorder="1" applyAlignment="1">
      <alignment horizontal="center" vertical="center"/>
    </xf>
    <xf numFmtId="0" fontId="1" fillId="0" borderId="50" xfId="0" applyFont="1" applyBorder="1" applyAlignment="1">
      <alignment horizontal="center" vertical="center"/>
    </xf>
    <xf numFmtId="0" fontId="1" fillId="0" borderId="44" xfId="0" applyFont="1" applyBorder="1" applyAlignment="1">
      <alignment horizontal="center" vertical="center"/>
    </xf>
    <xf numFmtId="0" fontId="1" fillId="0" borderId="38" xfId="0" applyFont="1" applyBorder="1" applyAlignment="1">
      <alignment horizontal="center" vertical="center"/>
    </xf>
    <xf numFmtId="0" fontId="1" fillId="0" borderId="11" xfId="0" applyFont="1" applyBorder="1" applyAlignment="1">
      <alignment horizontal="center" vertical="center"/>
    </xf>
    <xf numFmtId="0" fontId="1" fillId="0" borderId="45" xfId="0" applyFont="1" applyBorder="1" applyAlignment="1">
      <alignment horizontal="center" vertical="center"/>
    </xf>
    <xf numFmtId="0" fontId="1" fillId="0" borderId="29" xfId="0" applyFont="1" applyBorder="1" applyAlignment="1">
      <alignment horizontal="center" vertical="center"/>
    </xf>
    <xf numFmtId="0" fontId="1" fillId="2" borderId="5" xfId="0" applyFont="1" applyFill="1" applyBorder="1" applyAlignment="1">
      <alignment horizontal="center" vertical="center"/>
    </xf>
    <xf numFmtId="0" fontId="1" fillId="2" borderId="17" xfId="0" applyFont="1" applyFill="1" applyBorder="1" applyAlignment="1">
      <alignment horizontal="center" vertical="center"/>
    </xf>
    <xf numFmtId="0" fontId="1" fillId="0" borderId="48" xfId="0" applyFont="1" applyBorder="1" applyAlignment="1">
      <alignment horizontal="center" vertical="center"/>
    </xf>
    <xf numFmtId="0" fontId="1" fillId="0" borderId="49" xfId="0" applyFont="1" applyBorder="1" applyAlignment="1">
      <alignment horizontal="center" vertical="center"/>
    </xf>
    <xf numFmtId="0" fontId="1" fillId="0" borderId="43" xfId="0" applyFont="1" applyBorder="1" applyAlignment="1">
      <alignment horizontal="center" vertical="center"/>
    </xf>
    <xf numFmtId="0" fontId="1" fillId="0" borderId="51" xfId="0" applyFont="1" applyBorder="1" applyAlignment="1">
      <alignment horizontal="center" vertical="center"/>
    </xf>
    <xf numFmtId="0" fontId="1" fillId="0" borderId="52" xfId="0" applyFont="1" applyBorder="1" applyAlignment="1">
      <alignment horizontal="center" vertical="center"/>
    </xf>
    <xf numFmtId="0" fontId="1" fillId="0" borderId="19" xfId="0" applyFont="1" applyBorder="1" applyAlignment="1">
      <alignment horizontal="center" vertical="center"/>
    </xf>
    <xf numFmtId="0" fontId="1" fillId="0" borderId="20" xfId="0" applyFont="1" applyBorder="1" applyAlignment="1">
      <alignment horizontal="center" vertical="center"/>
    </xf>
    <xf numFmtId="0" fontId="1" fillId="0" borderId="5" xfId="0" applyFont="1" applyBorder="1" applyAlignment="1">
      <alignment horizontal="center" vertical="center"/>
    </xf>
    <xf numFmtId="0" fontId="1" fillId="0" borderId="17" xfId="0" applyFont="1" applyBorder="1" applyAlignment="1">
      <alignment horizontal="center" vertical="center"/>
    </xf>
    <xf numFmtId="0" fontId="1" fillId="0" borderId="17" xfId="0" applyFont="1" applyBorder="1" applyAlignment="1">
      <alignment vertical="center"/>
    </xf>
    <xf numFmtId="0" fontId="1" fillId="0" borderId="5" xfId="0" applyFont="1" applyBorder="1" applyAlignment="1">
      <alignment vertical="center"/>
    </xf>
    <xf numFmtId="0" fontId="1" fillId="0" borderId="19" xfId="0" applyFont="1" applyBorder="1" applyAlignment="1">
      <alignment vertical="center"/>
    </xf>
    <xf numFmtId="0" fontId="1" fillId="0" borderId="34" xfId="0" applyFont="1" applyBorder="1" applyAlignment="1">
      <alignment vertical="center"/>
    </xf>
    <xf numFmtId="0" fontId="1" fillId="0" borderId="1" xfId="0" applyFont="1" applyBorder="1" applyAlignment="1">
      <alignment horizontal="center" vertical="center"/>
    </xf>
    <xf numFmtId="0" fontId="1" fillId="0" borderId="0" xfId="0" applyFont="1" applyBorder="1" applyAlignment="1">
      <alignment vertical="center"/>
    </xf>
    <xf numFmtId="0" fontId="1" fillId="0" borderId="0" xfId="0" applyFont="1" applyFill="1" applyBorder="1" applyAlignment="1">
      <alignment vertical="center" wrapText="1"/>
    </xf>
    <xf numFmtId="0" fontId="1" fillId="0" borderId="3" xfId="0" applyFont="1" applyFill="1" applyBorder="1" applyAlignment="1">
      <alignment vertical="center" wrapText="1"/>
    </xf>
    <xf numFmtId="0" fontId="1" fillId="0" borderId="65" xfId="0" applyFont="1" applyBorder="1" applyAlignment="1">
      <alignment vertical="center"/>
    </xf>
    <xf numFmtId="0" fontId="3" fillId="2" borderId="5" xfId="0" applyFont="1" applyFill="1" applyBorder="1" applyAlignment="1">
      <alignment horizontal="center" vertical="center"/>
    </xf>
    <xf numFmtId="0" fontId="1" fillId="0" borderId="34" xfId="0" applyFont="1" applyBorder="1" applyAlignment="1">
      <alignment vertical="center"/>
    </xf>
    <xf numFmtId="0" fontId="1" fillId="0" borderId="34" xfId="0" applyFont="1" applyBorder="1" applyAlignment="1">
      <alignment vertical="center"/>
    </xf>
    <xf numFmtId="0" fontId="1" fillId="0" borderId="5" xfId="0" applyFont="1" applyBorder="1" applyAlignment="1">
      <alignment vertical="center"/>
    </xf>
    <xf numFmtId="0" fontId="1" fillId="0" borderId="50" xfId="0" applyFont="1" applyBorder="1" applyAlignment="1">
      <alignment horizontal="center" vertical="center"/>
    </xf>
    <xf numFmtId="0" fontId="1" fillId="2" borderId="16" xfId="0" applyFont="1" applyFill="1" applyBorder="1" applyAlignment="1">
      <alignment horizontal="center" vertical="center"/>
    </xf>
    <xf numFmtId="0" fontId="1" fillId="2" borderId="5" xfId="0" applyFont="1" applyFill="1" applyBorder="1" applyAlignment="1">
      <alignment horizontal="center" vertical="center"/>
    </xf>
    <xf numFmtId="0" fontId="1" fillId="0" borderId="42" xfId="0" applyFont="1" applyBorder="1" applyAlignment="1">
      <alignment horizontal="center" vertical="center"/>
    </xf>
    <xf numFmtId="0" fontId="1" fillId="2" borderId="16"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15" xfId="0" applyFont="1" applyFill="1" applyBorder="1" applyAlignment="1">
      <alignment horizontal="center" vertical="center"/>
    </xf>
    <xf numFmtId="0" fontId="1" fillId="0" borderId="16" xfId="0" applyFont="1" applyBorder="1" applyAlignment="1">
      <alignment vertical="center"/>
    </xf>
    <xf numFmtId="0" fontId="1" fillId="0" borderId="18" xfId="0" applyFont="1" applyBorder="1" applyAlignment="1">
      <alignment vertical="center"/>
    </xf>
    <xf numFmtId="0" fontId="1" fillId="3" borderId="57" xfId="0" applyFont="1" applyFill="1" applyBorder="1" applyAlignment="1">
      <alignment horizontal="center" vertical="center"/>
    </xf>
    <xf numFmtId="0" fontId="4" fillId="2" borderId="5" xfId="0" applyFont="1" applyFill="1" applyBorder="1" applyAlignment="1">
      <alignment horizontal="center" vertical="center"/>
    </xf>
    <xf numFmtId="0" fontId="4" fillId="2" borderId="5" xfId="0" applyFont="1" applyFill="1" applyBorder="1" applyAlignment="1">
      <alignment horizontal="center" vertical="center" wrapText="1"/>
    </xf>
    <xf numFmtId="0" fontId="7" fillId="2" borderId="5" xfId="0" applyFont="1" applyFill="1" applyBorder="1" applyAlignment="1">
      <alignment horizontal="center" vertical="center"/>
    </xf>
    <xf numFmtId="0" fontId="11" fillId="0" borderId="0" xfId="1" applyFont="1" applyAlignment="1">
      <alignment horizontal="center" vertical="center"/>
    </xf>
    <xf numFmtId="0" fontId="11" fillId="0" borderId="0" xfId="1" applyFont="1" applyAlignment="1"/>
    <xf numFmtId="0" fontId="10" fillId="0" borderId="0" xfId="1" applyFont="1" applyAlignment="1"/>
    <xf numFmtId="0" fontId="12" fillId="0" borderId="0" xfId="1" applyFont="1" applyAlignment="1">
      <alignment horizontal="center" vertical="center"/>
    </xf>
    <xf numFmtId="0" fontId="12" fillId="0" borderId="0" xfId="1" applyFont="1" applyAlignment="1">
      <alignment wrapText="1"/>
    </xf>
    <xf numFmtId="0" fontId="12" fillId="0" borderId="0" xfId="1" applyFont="1"/>
    <xf numFmtId="0" fontId="12" fillId="0" borderId="0" xfId="1" applyFont="1" applyAlignment="1"/>
    <xf numFmtId="0" fontId="15" fillId="0" borderId="0" xfId="1" applyFont="1"/>
    <xf numFmtId="0" fontId="15" fillId="0" borderId="0" xfId="1" applyFont="1" applyAlignment="1"/>
    <xf numFmtId="0" fontId="16" fillId="0" borderId="0" xfId="1" applyFont="1" applyAlignment="1"/>
    <xf numFmtId="0" fontId="17" fillId="0" borderId="0" xfId="1" applyFont="1"/>
    <xf numFmtId="0" fontId="18" fillId="0" borderId="71" xfId="1" applyFont="1" applyBorder="1" applyAlignment="1">
      <alignment horizontal="center" vertical="center"/>
    </xf>
    <xf numFmtId="0" fontId="19" fillId="0" borderId="71" xfId="1" applyFont="1" applyBorder="1" applyAlignment="1">
      <alignment horizontal="center" vertical="center" wrapText="1"/>
    </xf>
    <xf numFmtId="0" fontId="19" fillId="0" borderId="71" xfId="1" applyFont="1" applyBorder="1" applyAlignment="1"/>
    <xf numFmtId="0" fontId="12" fillId="0" borderId="71" xfId="1" applyFont="1" applyBorder="1"/>
    <xf numFmtId="0" fontId="12" fillId="0" borderId="71" xfId="1" applyFont="1" applyBorder="1" applyAlignment="1"/>
    <xf numFmtId="0" fontId="21" fillId="0" borderId="71" xfId="1" applyFont="1" applyBorder="1" applyAlignment="1"/>
    <xf numFmtId="0" fontId="12" fillId="4" borderId="0" xfId="1" applyFont="1" applyFill="1" applyAlignment="1"/>
    <xf numFmtId="0" fontId="12" fillId="5" borderId="0" xfId="1" applyFont="1" applyFill="1" applyAlignment="1"/>
    <xf numFmtId="0" fontId="15" fillId="0" borderId="0" xfId="1" applyFont="1" applyAlignment="1">
      <alignment horizontal="center" vertical="center" wrapText="1"/>
    </xf>
    <xf numFmtId="0" fontId="15" fillId="0" borderId="71" xfId="1" applyFont="1" applyBorder="1" applyAlignment="1"/>
    <xf numFmtId="0" fontId="12" fillId="5" borderId="71" xfId="1" applyFont="1" applyFill="1" applyBorder="1"/>
    <xf numFmtId="0" fontId="12" fillId="5" borderId="71" xfId="1" applyFont="1" applyFill="1" applyBorder="1" applyAlignment="1"/>
    <xf numFmtId="0" fontId="12" fillId="5" borderId="0" xfId="1" applyFont="1" applyFill="1"/>
    <xf numFmtId="0" fontId="15" fillId="5" borderId="0" xfId="1" applyFont="1" applyFill="1" applyAlignment="1"/>
    <xf numFmtId="0" fontId="23" fillId="0" borderId="77" xfId="1" applyFont="1" applyBorder="1" applyAlignment="1">
      <alignment horizontal="center" vertical="center" wrapText="1"/>
    </xf>
    <xf numFmtId="0" fontId="23" fillId="0" borderId="0" xfId="1" applyFont="1" applyAlignment="1">
      <alignment horizontal="center" vertical="center" wrapText="1"/>
    </xf>
    <xf numFmtId="0" fontId="23" fillId="0" borderId="78" xfId="1" applyFont="1" applyBorder="1" applyAlignment="1">
      <alignment horizontal="center" vertical="center" wrapText="1"/>
    </xf>
    <xf numFmtId="0" fontId="12" fillId="0" borderId="77" xfId="1" applyFont="1" applyBorder="1" applyAlignment="1">
      <alignment horizontal="center" vertical="center" wrapText="1"/>
    </xf>
    <xf numFmtId="0" fontId="12" fillId="0" borderId="0" xfId="1" applyFont="1" applyAlignment="1">
      <alignment horizontal="center" vertical="center" wrapText="1"/>
    </xf>
    <xf numFmtId="0" fontId="12" fillId="0" borderId="78" xfId="1" applyFont="1" applyBorder="1" applyAlignment="1">
      <alignment horizontal="center" vertical="center" wrapText="1"/>
    </xf>
    <xf numFmtId="0" fontId="12" fillId="0" borderId="79" xfId="1" applyFont="1" applyBorder="1" applyAlignment="1">
      <alignment horizontal="center" vertical="center" wrapText="1"/>
    </xf>
    <xf numFmtId="0" fontId="12" fillId="0" borderId="80" xfId="1" applyFont="1" applyBorder="1" applyAlignment="1">
      <alignment horizontal="center" vertical="center" wrapText="1"/>
    </xf>
    <xf numFmtId="0" fontId="12" fillId="0" borderId="81" xfId="1" applyFont="1" applyBorder="1" applyAlignment="1">
      <alignment horizontal="center" vertical="center" wrapText="1"/>
    </xf>
    <xf numFmtId="0" fontId="23" fillId="0" borderId="82" xfId="1" applyFont="1" applyBorder="1" applyAlignment="1">
      <alignment horizontal="center" vertical="center" wrapText="1"/>
    </xf>
    <xf numFmtId="0" fontId="15" fillId="0" borderId="82" xfId="1" applyFont="1" applyBorder="1" applyAlignment="1">
      <alignment horizontal="center" vertical="center" wrapText="1"/>
    </xf>
    <xf numFmtId="0" fontId="12" fillId="0" borderId="83" xfId="1" applyFont="1" applyBorder="1" applyAlignment="1">
      <alignment horizontal="center" vertical="center" wrapText="1"/>
    </xf>
    <xf numFmtId="0" fontId="12" fillId="0" borderId="84" xfId="1" applyFont="1" applyBorder="1" applyAlignment="1">
      <alignment horizontal="center" vertical="center" wrapText="1"/>
    </xf>
    <xf numFmtId="0" fontId="24" fillId="0" borderId="0" xfId="1" applyFont="1" applyAlignment="1"/>
    <xf numFmtId="0" fontId="26" fillId="0" borderId="0" xfId="2" applyFont="1" applyAlignment="1">
      <alignment horizontal="center" vertical="center" wrapText="1"/>
    </xf>
    <xf numFmtId="0" fontId="28" fillId="0" borderId="0" xfId="2" applyFont="1"/>
    <xf numFmtId="0" fontId="25" fillId="0" borderId="0" xfId="2" applyFont="1" applyAlignment="1"/>
    <xf numFmtId="0" fontId="30" fillId="7" borderId="88" xfId="2" applyFont="1" applyFill="1" applyBorder="1" applyAlignment="1">
      <alignment horizontal="center" vertical="center" wrapText="1"/>
    </xf>
    <xf numFmtId="0" fontId="30" fillId="8" borderId="88" xfId="2" applyFont="1" applyFill="1" applyBorder="1" applyAlignment="1">
      <alignment horizontal="center" vertical="center" wrapText="1"/>
    </xf>
    <xf numFmtId="0" fontId="31" fillId="9" borderId="88" xfId="2" applyFont="1" applyFill="1" applyBorder="1" applyAlignment="1">
      <alignment horizontal="center" vertical="center" wrapText="1"/>
    </xf>
    <xf numFmtId="0" fontId="30" fillId="9" borderId="88" xfId="2" applyFont="1" applyFill="1" applyBorder="1" applyAlignment="1">
      <alignment horizontal="center" vertical="center" wrapText="1"/>
    </xf>
    <xf numFmtId="0" fontId="32" fillId="7" borderId="88" xfId="2" applyFont="1" applyFill="1" applyBorder="1" applyAlignment="1">
      <alignment horizontal="center" vertical="center" wrapText="1"/>
    </xf>
    <xf numFmtId="0" fontId="33" fillId="8" borderId="88" xfId="2" applyFont="1" applyFill="1" applyBorder="1" applyAlignment="1">
      <alignment horizontal="center" vertical="center" wrapText="1"/>
    </xf>
    <xf numFmtId="0" fontId="32" fillId="9" borderId="88" xfId="2" applyFont="1" applyFill="1" applyBorder="1" applyAlignment="1">
      <alignment horizontal="center" vertical="center" wrapText="1"/>
    </xf>
    <xf numFmtId="0" fontId="31" fillId="8" borderId="88" xfId="2" applyFont="1" applyFill="1" applyBorder="1" applyAlignment="1">
      <alignment horizontal="center" vertical="center" wrapText="1"/>
    </xf>
    <xf numFmtId="0" fontId="34" fillId="0" borderId="88" xfId="2" applyFont="1" applyBorder="1" applyAlignment="1">
      <alignment horizontal="center" vertical="center" wrapText="1"/>
    </xf>
    <xf numFmtId="0" fontId="35" fillId="0" borderId="88" xfId="2" applyFont="1" applyBorder="1" applyAlignment="1">
      <alignment horizontal="center" vertical="center" wrapText="1"/>
    </xf>
    <xf numFmtId="0" fontId="36" fillId="0" borderId="88" xfId="2" applyFont="1" applyBorder="1" applyAlignment="1">
      <alignment horizontal="center" vertical="center" wrapText="1"/>
    </xf>
    <xf numFmtId="0" fontId="38" fillId="0" borderId="88" xfId="2" applyFont="1" applyBorder="1" applyAlignment="1">
      <alignment horizontal="center" vertical="center" wrapText="1"/>
    </xf>
    <xf numFmtId="0" fontId="33" fillId="0" borderId="88" xfId="2" applyFont="1" applyBorder="1" applyAlignment="1">
      <alignment horizontal="center" vertical="center" wrapText="1"/>
    </xf>
    <xf numFmtId="0" fontId="32" fillId="0" borderId="0" xfId="2" applyFont="1" applyAlignment="1">
      <alignment horizontal="center" vertical="center" wrapText="1"/>
    </xf>
    <xf numFmtId="0" fontId="30" fillId="0" borderId="88" xfId="2" applyFont="1" applyBorder="1" applyAlignment="1">
      <alignment horizontal="center" vertical="center"/>
    </xf>
    <xf numFmtId="0" fontId="30" fillId="0" borderId="88" xfId="2" applyFont="1" applyBorder="1" applyAlignment="1">
      <alignment horizontal="center" vertical="center" wrapText="1"/>
    </xf>
    <xf numFmtId="0" fontId="33" fillId="0" borderId="0" xfId="2" applyFont="1" applyAlignment="1">
      <alignment horizontal="center" vertical="center" wrapText="1"/>
    </xf>
    <xf numFmtId="0" fontId="48" fillId="0" borderId="0" xfId="2" applyFont="1"/>
    <xf numFmtId="0" fontId="53" fillId="0" borderId="0" xfId="2" applyFont="1"/>
    <xf numFmtId="0" fontId="28" fillId="0" borderId="0" xfId="2" applyFont="1" applyAlignment="1">
      <alignment horizontal="center" vertical="center" wrapText="1"/>
    </xf>
    <xf numFmtId="0" fontId="31" fillId="7" borderId="88" xfId="2" applyFont="1" applyFill="1" applyBorder="1" applyAlignment="1">
      <alignment horizontal="center" vertical="center" wrapText="1"/>
    </xf>
    <xf numFmtId="0" fontId="31" fillId="0" borderId="88" xfId="2" applyFont="1" applyBorder="1" applyAlignment="1">
      <alignment horizontal="center" vertical="center" wrapText="1"/>
    </xf>
    <xf numFmtId="0" fontId="42" fillId="0" borderId="88" xfId="2" applyFont="1" applyBorder="1" applyAlignment="1">
      <alignment horizontal="center" vertical="center" wrapText="1"/>
    </xf>
    <xf numFmtId="0" fontId="28" fillId="0" borderId="0" xfId="2" applyFont="1" applyAlignment="1">
      <alignment horizontal="center" vertical="center"/>
    </xf>
    <xf numFmtId="0" fontId="23" fillId="0" borderId="77" xfId="2" applyFont="1" applyBorder="1" applyAlignment="1">
      <alignment horizontal="center" vertical="center" wrapText="1"/>
    </xf>
    <xf numFmtId="0" fontId="23" fillId="0" borderId="0" xfId="2" applyFont="1" applyAlignment="1">
      <alignment horizontal="center" vertical="center" wrapText="1"/>
    </xf>
    <xf numFmtId="0" fontId="23" fillId="0" borderId="78" xfId="2" applyFont="1" applyBorder="1" applyAlignment="1">
      <alignment horizontal="center" vertical="center" wrapText="1"/>
    </xf>
    <xf numFmtId="0" fontId="54" fillId="0" borderId="77" xfId="2" applyFont="1" applyBorder="1" applyAlignment="1">
      <alignment horizontal="center" vertical="center" wrapText="1"/>
    </xf>
    <xf numFmtId="0" fontId="54" fillId="0" borderId="0" xfId="2" applyFont="1" applyAlignment="1">
      <alignment horizontal="center" vertical="center" wrapText="1"/>
    </xf>
    <xf numFmtId="0" fontId="54" fillId="0" borderId="78" xfId="2" applyFont="1" applyBorder="1" applyAlignment="1">
      <alignment horizontal="center" vertical="center" wrapText="1"/>
    </xf>
    <xf numFmtId="0" fontId="55" fillId="0" borderId="77" xfId="2" applyFont="1" applyBorder="1" applyAlignment="1">
      <alignment horizontal="center" vertical="center" wrapText="1"/>
    </xf>
    <xf numFmtId="0" fontId="55" fillId="0" borderId="0" xfId="2" applyFont="1" applyAlignment="1">
      <alignment horizontal="center" vertical="center" wrapText="1"/>
    </xf>
    <xf numFmtId="0" fontId="55" fillId="0" borderId="78" xfId="2" applyFont="1" applyBorder="1" applyAlignment="1">
      <alignment horizontal="center" vertical="center" wrapText="1"/>
    </xf>
    <xf numFmtId="0" fontId="55" fillId="0" borderId="79" xfId="2" applyFont="1" applyBorder="1" applyAlignment="1">
      <alignment horizontal="center" vertical="center" wrapText="1"/>
    </xf>
    <xf numFmtId="0" fontId="55" fillId="0" borderId="80" xfId="2" applyFont="1" applyBorder="1" applyAlignment="1">
      <alignment horizontal="center" vertical="center" wrapText="1"/>
    </xf>
    <xf numFmtId="0" fontId="55" fillId="0" borderId="81" xfId="2" applyFont="1" applyBorder="1" applyAlignment="1">
      <alignment horizontal="center" vertical="center" wrapText="1"/>
    </xf>
    <xf numFmtId="0" fontId="54" fillId="0" borderId="82" xfId="2" applyFont="1" applyBorder="1" applyAlignment="1">
      <alignment horizontal="center" vertical="center" wrapText="1"/>
    </xf>
    <xf numFmtId="0" fontId="56" fillId="0" borderId="82" xfId="2" applyFont="1" applyBorder="1" applyAlignment="1">
      <alignment horizontal="center" vertical="center" wrapText="1"/>
    </xf>
    <xf numFmtId="0" fontId="57" fillId="0" borderId="78" xfId="2" applyFont="1" applyBorder="1" applyAlignment="1">
      <alignment horizontal="center" vertical="center" wrapText="1"/>
    </xf>
    <xf numFmtId="0" fontId="55" fillId="0" borderId="83" xfId="2" applyFont="1" applyBorder="1" applyAlignment="1">
      <alignment horizontal="center" vertical="center" wrapText="1"/>
    </xf>
    <xf numFmtId="0" fontId="58" fillId="0" borderId="78" xfId="2" applyFont="1" applyBorder="1" applyAlignment="1">
      <alignment horizontal="center" vertical="center" wrapText="1"/>
    </xf>
    <xf numFmtId="0" fontId="55" fillId="0" borderId="84" xfId="2" applyFont="1" applyBorder="1" applyAlignment="1">
      <alignment horizontal="center" vertical="center" wrapText="1"/>
    </xf>
    <xf numFmtId="0" fontId="59" fillId="0" borderId="0" xfId="1" applyFont="1" applyAlignment="1"/>
    <xf numFmtId="0" fontId="60" fillId="0" borderId="0" xfId="0" applyFont="1"/>
    <xf numFmtId="0" fontId="61" fillId="0" borderId="71" xfId="1" applyFont="1" applyBorder="1" applyAlignment="1"/>
    <xf numFmtId="0" fontId="59" fillId="0" borderId="5" xfId="1" applyFont="1" applyBorder="1" applyAlignment="1"/>
    <xf numFmtId="0" fontId="10" fillId="0" borderId="5" xfId="1" applyFont="1" applyBorder="1" applyAlignment="1"/>
    <xf numFmtId="0" fontId="59" fillId="0" borderId="5" xfId="1" applyFont="1" applyBorder="1" applyAlignment="1">
      <alignment horizontal="center"/>
    </xf>
    <xf numFmtId="0" fontId="62" fillId="0" borderId="5" xfId="1" applyFont="1" applyBorder="1" applyAlignment="1"/>
    <xf numFmtId="0" fontId="62" fillId="0" borderId="5" xfId="1" applyFont="1" applyBorder="1" applyAlignment="1">
      <alignment horizontal="center"/>
    </xf>
    <xf numFmtId="0" fontId="1" fillId="2" borderId="19" xfId="0" applyFont="1" applyFill="1" applyBorder="1" applyAlignment="1">
      <alignment horizontal="center" vertical="center"/>
    </xf>
    <xf numFmtId="0" fontId="9" fillId="0" borderId="0" xfId="1" applyFont="1" applyAlignment="1"/>
    <xf numFmtId="0" fontId="0" fillId="0" borderId="5" xfId="0" applyBorder="1"/>
    <xf numFmtId="0" fontId="0" fillId="0" borderId="38" xfId="0" applyBorder="1"/>
    <xf numFmtId="0" fontId="8" fillId="0" borderId="5" xfId="0" applyFont="1" applyBorder="1" applyAlignment="1">
      <alignment horizontal="center"/>
    </xf>
    <xf numFmtId="0" fontId="12" fillId="0" borderId="0" xfId="1" applyFont="1" applyBorder="1"/>
    <xf numFmtId="0" fontId="21" fillId="0" borderId="0" xfId="1" applyFont="1" applyBorder="1" applyAlignment="1"/>
    <xf numFmtId="0" fontId="65" fillId="0" borderId="93" xfId="1" applyFont="1" applyBorder="1" applyAlignment="1"/>
    <xf numFmtId="0" fontId="19" fillId="10" borderId="71" xfId="1" applyFont="1" applyFill="1" applyBorder="1" applyAlignment="1">
      <alignment horizontal="center" vertical="center" wrapText="1"/>
    </xf>
    <xf numFmtId="0" fontId="19" fillId="10" borderId="71" xfId="1" applyFont="1" applyFill="1" applyBorder="1" applyAlignment="1"/>
    <xf numFmtId="0" fontId="12" fillId="10" borderId="71" xfId="1" applyFont="1" applyFill="1" applyBorder="1"/>
    <xf numFmtId="0" fontId="12" fillId="10" borderId="71" xfId="1" applyFont="1" applyFill="1" applyBorder="1" applyAlignment="1"/>
    <xf numFmtId="0" fontId="10" fillId="10" borderId="94" xfId="1" applyFont="1" applyFill="1" applyBorder="1" applyAlignment="1"/>
    <xf numFmtId="0" fontId="10" fillId="10" borderId="95" xfId="1" applyFont="1" applyFill="1" applyBorder="1" applyAlignment="1"/>
    <xf numFmtId="0" fontId="59" fillId="10" borderId="95" xfId="1" applyFont="1" applyFill="1" applyBorder="1" applyAlignment="1">
      <alignment wrapText="1"/>
    </xf>
    <xf numFmtId="0" fontId="12" fillId="10" borderId="73" xfId="1" applyFont="1" applyFill="1" applyBorder="1" applyAlignment="1"/>
    <xf numFmtId="0" fontId="12" fillId="10" borderId="76" xfId="1" applyFont="1" applyFill="1" applyBorder="1" applyAlignment="1"/>
    <xf numFmtId="0" fontId="59" fillId="10" borderId="95" xfId="1" applyFont="1" applyFill="1" applyBorder="1" applyAlignment="1"/>
    <xf numFmtId="0" fontId="59" fillId="10" borderId="96" xfId="1" applyFont="1" applyFill="1" applyBorder="1" applyAlignment="1"/>
    <xf numFmtId="0" fontId="12" fillId="10" borderId="81" xfId="1" applyFont="1" applyFill="1" applyBorder="1" applyAlignment="1"/>
    <xf numFmtId="0" fontId="66" fillId="0" borderId="93" xfId="1" applyFont="1" applyFill="1" applyBorder="1" applyAlignment="1"/>
    <xf numFmtId="0" fontId="9" fillId="10" borderId="71" xfId="1" applyFont="1" applyFill="1" applyBorder="1" applyAlignment="1"/>
    <xf numFmtId="0" fontId="59" fillId="10" borderId="96" xfId="1" applyFont="1" applyFill="1" applyBorder="1" applyAlignment="1">
      <alignment wrapText="1"/>
    </xf>
    <xf numFmtId="0" fontId="67" fillId="0" borderId="71" xfId="1" applyFont="1" applyBorder="1"/>
    <xf numFmtId="0" fontId="67" fillId="0" borderId="0" xfId="1" applyFont="1" applyBorder="1"/>
    <xf numFmtId="0" fontId="4" fillId="2" borderId="25" xfId="0" applyFont="1" applyFill="1" applyBorder="1" applyAlignment="1">
      <alignment vertical="center" wrapText="1"/>
    </xf>
    <xf numFmtId="0" fontId="4" fillId="2" borderId="31" xfId="0" applyFont="1" applyFill="1" applyBorder="1" applyAlignment="1">
      <alignment vertical="center"/>
    </xf>
    <xf numFmtId="0" fontId="4" fillId="2" borderId="28" xfId="0" applyFont="1" applyFill="1" applyBorder="1" applyAlignment="1">
      <alignment vertical="center" wrapText="1"/>
    </xf>
    <xf numFmtId="0" fontId="4" fillId="2" borderId="32" xfId="0" applyFont="1" applyFill="1" applyBorder="1" applyAlignment="1">
      <alignment vertical="center"/>
    </xf>
    <xf numFmtId="0" fontId="4" fillId="10" borderId="25" xfId="0" applyFont="1" applyFill="1" applyBorder="1" applyAlignment="1">
      <alignment vertical="center" wrapText="1"/>
    </xf>
    <xf numFmtId="0" fontId="4" fillId="10" borderId="28" xfId="0" applyFont="1" applyFill="1" applyBorder="1" applyAlignment="1">
      <alignment vertical="center" wrapText="1"/>
    </xf>
    <xf numFmtId="0" fontId="5" fillId="2" borderId="28" xfId="0" applyFont="1" applyFill="1" applyBorder="1" applyAlignment="1">
      <alignment vertical="center" wrapText="1"/>
    </xf>
    <xf numFmtId="0" fontId="2" fillId="2" borderId="29" xfId="0" applyFont="1" applyFill="1" applyBorder="1" applyAlignment="1">
      <alignment vertical="center"/>
    </xf>
    <xf numFmtId="0" fontId="2" fillId="2" borderId="32" xfId="0" applyFont="1" applyFill="1" applyBorder="1" applyAlignment="1">
      <alignment vertical="center"/>
    </xf>
    <xf numFmtId="0" fontId="5" fillId="10" borderId="28" xfId="0" applyFont="1" applyFill="1" applyBorder="1" applyAlignment="1">
      <alignment vertical="center" wrapText="1"/>
    </xf>
    <xf numFmtId="0" fontId="4" fillId="2" borderId="26" xfId="0" applyFont="1" applyFill="1" applyBorder="1" applyAlignment="1">
      <alignment vertical="center"/>
    </xf>
    <xf numFmtId="0" fontId="5" fillId="2" borderId="25" xfId="0" applyFont="1" applyFill="1" applyBorder="1" applyAlignment="1">
      <alignment vertical="center" wrapText="1"/>
    </xf>
    <xf numFmtId="0" fontId="2" fillId="2" borderId="26" xfId="0" applyFont="1" applyFill="1" applyBorder="1" applyAlignment="1">
      <alignment vertical="center"/>
    </xf>
    <xf numFmtId="0" fontId="2" fillId="2" borderId="31" xfId="0" applyFont="1" applyFill="1" applyBorder="1" applyAlignment="1">
      <alignment vertical="center"/>
    </xf>
    <xf numFmtId="0" fontId="5" fillId="10" borderId="25" xfId="0" applyFont="1" applyFill="1" applyBorder="1" applyAlignment="1">
      <alignment vertical="center" wrapText="1"/>
    </xf>
    <xf numFmtId="0" fontId="2" fillId="2" borderId="16" xfId="0" applyFont="1" applyFill="1" applyBorder="1" applyAlignment="1">
      <alignment vertical="center"/>
    </xf>
    <xf numFmtId="0" fontId="2" fillId="2" borderId="5" xfId="0" applyFont="1" applyFill="1" applyBorder="1" applyAlignment="1">
      <alignment vertical="center"/>
    </xf>
    <xf numFmtId="0" fontId="2" fillId="10" borderId="16" xfId="0" applyFont="1" applyFill="1" applyBorder="1" applyAlignment="1">
      <alignment vertical="center"/>
    </xf>
    <xf numFmtId="0" fontId="4" fillId="10" borderId="16" xfId="0" applyFont="1" applyFill="1" applyBorder="1" applyAlignment="1">
      <alignment vertical="center" wrapText="1"/>
    </xf>
    <xf numFmtId="0" fontId="68" fillId="0" borderId="0" xfId="0" applyFont="1" applyFill="1" applyBorder="1" applyAlignment="1">
      <alignment vertical="center"/>
    </xf>
    <xf numFmtId="0" fontId="68" fillId="0" borderId="0" xfId="0" applyFont="1" applyAlignment="1">
      <alignment horizontal="center" vertical="center"/>
    </xf>
    <xf numFmtId="0" fontId="68" fillId="0" borderId="0" xfId="0" applyFont="1" applyBorder="1" applyAlignment="1">
      <alignment vertical="center"/>
    </xf>
    <xf numFmtId="0" fontId="69" fillId="0" borderId="5" xfId="0" applyFont="1" applyFill="1" applyBorder="1" applyAlignment="1">
      <alignment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0" xfId="0" applyFont="1" applyAlignment="1">
      <alignment vertical="center"/>
    </xf>
    <xf numFmtId="0" fontId="69" fillId="0" borderId="0" xfId="0" applyFont="1" applyAlignment="1">
      <alignment horizontal="center" vertical="center"/>
    </xf>
    <xf numFmtId="0" fontId="68" fillId="0" borderId="19" xfId="0" applyFont="1" applyBorder="1" applyAlignment="1">
      <alignment vertical="center"/>
    </xf>
    <xf numFmtId="0" fontId="68" fillId="0" borderId="20" xfId="0" applyFont="1" applyBorder="1" applyAlignment="1">
      <alignment vertical="center"/>
    </xf>
    <xf numFmtId="0" fontId="69" fillId="0" borderId="0" xfId="0" applyFont="1" applyAlignment="1">
      <alignment vertical="center"/>
    </xf>
    <xf numFmtId="0" fontId="69" fillId="0" borderId="19" xfId="0" applyFont="1" applyFill="1" applyBorder="1" applyAlignment="1">
      <alignment vertical="center"/>
    </xf>
    <xf numFmtId="0" fontId="70" fillId="2" borderId="5" xfId="0" applyFont="1" applyFill="1" applyBorder="1" applyAlignment="1">
      <alignment horizontal="center" vertical="center"/>
    </xf>
    <xf numFmtId="0" fontId="70" fillId="2" borderId="27" xfId="0" applyFont="1" applyFill="1" applyBorder="1" applyAlignment="1">
      <alignment horizontal="center" vertical="center"/>
    </xf>
    <xf numFmtId="0" fontId="68" fillId="0" borderId="27" xfId="0" applyFont="1" applyBorder="1" applyAlignment="1">
      <alignment vertical="center"/>
    </xf>
    <xf numFmtId="0" fontId="68" fillId="0" borderId="30" xfId="0" applyFont="1" applyBorder="1" applyAlignment="1">
      <alignment vertical="center"/>
    </xf>
    <xf numFmtId="0" fontId="69" fillId="0" borderId="5" xfId="0" applyFont="1" applyBorder="1" applyAlignment="1">
      <alignment vertical="center"/>
    </xf>
    <xf numFmtId="0" fontId="28" fillId="0" borderId="0" xfId="2" applyFont="1" applyAlignment="1">
      <alignment horizontal="center" vertical="center" wrapText="1"/>
    </xf>
    <xf numFmtId="0" fontId="25" fillId="0" borderId="0" xfId="2" applyFont="1" applyAlignment="1"/>
    <xf numFmtId="0" fontId="68" fillId="0" borderId="20" xfId="0" applyFont="1" applyBorder="1" applyAlignment="1">
      <alignment vertical="center"/>
    </xf>
    <xf numFmtId="2" fontId="1" fillId="0" borderId="17" xfId="0" applyNumberFormat="1" applyFont="1" applyBorder="1" applyAlignment="1">
      <alignment horizontal="center" vertical="center"/>
    </xf>
    <xf numFmtId="2" fontId="1" fillId="0" borderId="20" xfId="0" applyNumberFormat="1" applyFont="1" applyBorder="1" applyAlignment="1">
      <alignment horizontal="center" vertical="center"/>
    </xf>
    <xf numFmtId="0" fontId="4" fillId="2" borderId="15" xfId="0" applyFont="1" applyFill="1" applyBorder="1" applyAlignment="1">
      <alignment horizontal="center" vertical="center"/>
    </xf>
    <xf numFmtId="0" fontId="2" fillId="0" borderId="7" xfId="0" applyFont="1" applyBorder="1" applyAlignment="1">
      <alignment horizontal="center" vertical="center" wrapText="1"/>
    </xf>
    <xf numFmtId="0" fontId="1" fillId="0" borderId="26" xfId="0" applyNumberFormat="1" applyFont="1" applyBorder="1" applyAlignment="1">
      <alignment vertical="center"/>
    </xf>
    <xf numFmtId="0" fontId="1" fillId="0" borderId="31" xfId="0" applyNumberFormat="1" applyFont="1" applyBorder="1" applyAlignment="1">
      <alignment vertical="center"/>
    </xf>
    <xf numFmtId="0" fontId="1" fillId="0" borderId="26" xfId="0" applyFont="1" applyBorder="1" applyAlignment="1">
      <alignment vertical="center"/>
    </xf>
    <xf numFmtId="0" fontId="1" fillId="0" borderId="31" xfId="0" applyFont="1" applyBorder="1" applyAlignment="1">
      <alignment vertical="center"/>
    </xf>
    <xf numFmtId="0" fontId="1" fillId="0" borderId="3" xfId="0" applyFont="1" applyBorder="1" applyAlignment="1">
      <alignment horizontal="center" vertical="center"/>
    </xf>
    <xf numFmtId="0" fontId="1" fillId="2" borderId="21" xfId="0" applyFont="1" applyFill="1" applyBorder="1" applyAlignment="1">
      <alignment horizontal="center" vertical="center"/>
    </xf>
    <xf numFmtId="0" fontId="1" fillId="2" borderId="35" xfId="0" applyFont="1" applyFill="1" applyBorder="1" applyAlignment="1">
      <alignment horizontal="center" vertical="center"/>
    </xf>
    <xf numFmtId="0" fontId="2" fillId="2" borderId="21" xfId="0" applyFont="1" applyFill="1" applyBorder="1" applyAlignment="1">
      <alignment horizontal="center" vertical="center"/>
    </xf>
    <xf numFmtId="0" fontId="2" fillId="2" borderId="35" xfId="0" applyFont="1" applyFill="1" applyBorder="1" applyAlignment="1">
      <alignment horizontal="center" vertical="center"/>
    </xf>
    <xf numFmtId="0" fontId="2" fillId="0" borderId="33"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0" fontId="1" fillId="0" borderId="33" xfId="0" applyFont="1" applyFill="1" applyBorder="1" applyAlignment="1">
      <alignment horizontal="center" vertical="center"/>
    </xf>
    <xf numFmtId="0" fontId="1" fillId="0" borderId="22" xfId="0" applyFont="1" applyFill="1" applyBorder="1" applyAlignment="1">
      <alignment horizontal="center" vertical="center"/>
    </xf>
    <xf numFmtId="0" fontId="1" fillId="0" borderId="23" xfId="0" applyFont="1" applyFill="1" applyBorder="1" applyAlignment="1">
      <alignment horizontal="center" vertical="center"/>
    </xf>
    <xf numFmtId="0" fontId="68" fillId="0" borderId="2" xfId="0" applyFont="1" applyBorder="1" applyAlignment="1">
      <alignment horizontal="center" vertical="center"/>
    </xf>
    <xf numFmtId="0" fontId="68" fillId="0" borderId="3" xfId="0" applyFont="1" applyBorder="1" applyAlignment="1">
      <alignment horizontal="center" vertical="center"/>
    </xf>
    <xf numFmtId="0" fontId="68" fillId="0" borderId="4" xfId="0" applyFont="1" applyBorder="1" applyAlignment="1">
      <alignment horizontal="center" vertical="center"/>
    </xf>
    <xf numFmtId="0" fontId="68" fillId="2" borderId="25" xfId="0" applyFont="1" applyFill="1" applyBorder="1" applyAlignment="1">
      <alignment horizontal="center" vertical="center"/>
    </xf>
    <xf numFmtId="0" fontId="68" fillId="2" borderId="26" xfId="0" applyFont="1" applyFill="1" applyBorder="1" applyAlignment="1">
      <alignment horizontal="center" vertical="center"/>
    </xf>
    <xf numFmtId="0" fontId="68" fillId="2" borderId="31" xfId="0" applyFont="1" applyFill="1" applyBorder="1" applyAlignment="1">
      <alignment horizontal="center" vertical="center"/>
    </xf>
    <xf numFmtId="0" fontId="68" fillId="0" borderId="34" xfId="0" applyFont="1" applyFill="1" applyBorder="1" applyAlignment="1">
      <alignment horizontal="center" vertical="center"/>
    </xf>
    <xf numFmtId="0" fontId="68" fillId="0" borderId="26" xfId="0" applyFont="1" applyFill="1" applyBorder="1" applyAlignment="1">
      <alignment horizontal="center" vertical="center"/>
    </xf>
    <xf numFmtId="0" fontId="68" fillId="0" borderId="27" xfId="0" applyFont="1" applyFill="1" applyBorder="1" applyAlignment="1">
      <alignment horizontal="center" vertical="center"/>
    </xf>
    <xf numFmtId="0" fontId="1" fillId="0" borderId="34" xfId="0" applyFont="1" applyBorder="1" applyAlignment="1">
      <alignment vertical="center" wrapText="1"/>
    </xf>
    <xf numFmtId="0" fontId="1" fillId="0" borderId="27" xfId="0" applyFont="1" applyBorder="1" applyAlignment="1">
      <alignment vertical="center" wrapText="1"/>
    </xf>
    <xf numFmtId="0" fontId="1" fillId="0" borderId="55" xfId="0" applyFont="1" applyBorder="1" applyAlignment="1">
      <alignment vertical="center" wrapText="1"/>
    </xf>
    <xf numFmtId="0" fontId="1" fillId="0" borderId="30" xfId="0" applyFont="1" applyBorder="1" applyAlignment="1">
      <alignment vertical="center" wrapText="1"/>
    </xf>
    <xf numFmtId="0" fontId="1" fillId="2" borderId="25" xfId="0" applyFont="1" applyFill="1" applyBorder="1" applyAlignment="1">
      <alignment horizontal="center" vertical="center"/>
    </xf>
    <xf numFmtId="0" fontId="1" fillId="2" borderId="26" xfId="0" applyFont="1" applyFill="1" applyBorder="1" applyAlignment="1">
      <alignment horizontal="center" vertical="center"/>
    </xf>
    <xf numFmtId="0" fontId="1" fillId="2" borderId="31" xfId="0" applyFont="1" applyFill="1" applyBorder="1" applyAlignment="1">
      <alignment horizontal="center" vertical="center"/>
    </xf>
    <xf numFmtId="0" fontId="1" fillId="0" borderId="34" xfId="0" applyFont="1" applyBorder="1" applyAlignment="1">
      <alignment horizontal="center" vertical="center"/>
    </xf>
    <xf numFmtId="0" fontId="1" fillId="0" borderId="26" xfId="0" applyFont="1" applyBorder="1" applyAlignment="1">
      <alignment horizontal="center" vertical="center"/>
    </xf>
    <xf numFmtId="0" fontId="1" fillId="0" borderId="27" xfId="0" applyFont="1" applyBorder="1" applyAlignment="1">
      <alignment horizontal="center" vertical="center"/>
    </xf>
    <xf numFmtId="0" fontId="1" fillId="2" borderId="36" xfId="0" applyFont="1" applyFill="1" applyBorder="1" applyAlignment="1">
      <alignment horizontal="center" vertical="center"/>
    </xf>
    <xf numFmtId="0" fontId="1" fillId="2" borderId="8" xfId="0" applyFont="1" applyFill="1" applyBorder="1" applyAlignment="1">
      <alignment horizontal="center" vertical="center"/>
    </xf>
    <xf numFmtId="0" fontId="1" fillId="3" borderId="57" xfId="0" applyFont="1" applyFill="1" applyBorder="1" applyAlignment="1">
      <alignment horizontal="center" vertical="center"/>
    </xf>
    <xf numFmtId="0" fontId="1" fillId="2" borderId="27" xfId="0" applyFont="1" applyFill="1" applyBorder="1" applyAlignment="1">
      <alignment horizontal="center" vertical="center"/>
    </xf>
    <xf numFmtId="49" fontId="2" fillId="0" borderId="25" xfId="0" applyNumberFormat="1" applyFont="1" applyBorder="1" applyAlignment="1">
      <alignment horizontal="center" vertical="center"/>
    </xf>
    <xf numFmtId="49" fontId="2" fillId="0" borderId="26" xfId="0" applyNumberFormat="1" applyFont="1" applyBorder="1" applyAlignment="1">
      <alignment horizontal="center" vertical="center"/>
    </xf>
    <xf numFmtId="49" fontId="2" fillId="0" borderId="27" xfId="0" applyNumberFormat="1" applyFont="1" applyBorder="1" applyAlignment="1">
      <alignment horizontal="center" vertical="center"/>
    </xf>
    <xf numFmtId="0" fontId="4" fillId="2" borderId="25" xfId="0" applyFont="1" applyFill="1" applyBorder="1" applyAlignment="1">
      <alignment horizontal="center" vertical="center" wrapText="1"/>
    </xf>
    <xf numFmtId="0" fontId="4" fillId="2" borderId="31" xfId="0" applyFont="1" applyFill="1" applyBorder="1" applyAlignment="1">
      <alignment horizontal="center" vertical="center"/>
    </xf>
    <xf numFmtId="0" fontId="1" fillId="2" borderId="34" xfId="0" applyFont="1" applyFill="1" applyBorder="1" applyAlignment="1">
      <alignment horizontal="center" vertical="center"/>
    </xf>
    <xf numFmtId="0" fontId="1" fillId="0" borderId="34" xfId="0" applyFont="1" applyBorder="1" applyAlignment="1">
      <alignment vertical="center"/>
    </xf>
    <xf numFmtId="0" fontId="1" fillId="0" borderId="55" xfId="0" applyFont="1" applyBorder="1" applyAlignment="1">
      <alignment vertical="center"/>
    </xf>
    <xf numFmtId="0" fontId="1" fillId="0" borderId="29" xfId="0" applyFont="1" applyBorder="1" applyAlignment="1">
      <alignment vertical="center"/>
    </xf>
    <xf numFmtId="0" fontId="1" fillId="0" borderId="32" xfId="0" applyFont="1" applyBorder="1" applyAlignment="1">
      <alignment vertical="center"/>
    </xf>
    <xf numFmtId="0" fontId="1" fillId="0" borderId="25" xfId="0" applyFont="1" applyBorder="1" applyAlignment="1">
      <alignment horizontal="center" vertical="center"/>
    </xf>
    <xf numFmtId="49" fontId="2" fillId="0" borderId="28" xfId="0" applyNumberFormat="1" applyFont="1" applyBorder="1" applyAlignment="1">
      <alignment horizontal="center" vertical="center"/>
    </xf>
    <xf numFmtId="49" fontId="2" fillId="0" borderId="29" xfId="0" applyNumberFormat="1" applyFont="1" applyBorder="1" applyAlignment="1">
      <alignment horizontal="center" vertical="center"/>
    </xf>
    <xf numFmtId="49" fontId="2" fillId="0" borderId="30" xfId="0" applyNumberFormat="1" applyFont="1" applyBorder="1" applyAlignment="1">
      <alignment horizontal="center" vertical="center"/>
    </xf>
    <xf numFmtId="0" fontId="4" fillId="2" borderId="16" xfId="0" applyFont="1" applyFill="1" applyBorder="1" applyAlignment="1">
      <alignment horizontal="center" vertical="center" wrapText="1"/>
    </xf>
    <xf numFmtId="0" fontId="4" fillId="2" borderId="5" xfId="0" applyFont="1" applyFill="1" applyBorder="1" applyAlignment="1">
      <alignment horizontal="center" vertical="center"/>
    </xf>
    <xf numFmtId="0" fontId="3" fillId="2" borderId="18" xfId="0" applyFont="1" applyFill="1" applyBorder="1" applyAlignment="1">
      <alignment horizontal="center" vertical="center"/>
    </xf>
    <xf numFmtId="0" fontId="3" fillId="2" borderId="19" xfId="0" applyFont="1" applyFill="1" applyBorder="1" applyAlignment="1">
      <alignment horizontal="center" vertical="center"/>
    </xf>
    <xf numFmtId="0" fontId="64" fillId="2" borderId="37" xfId="0" applyFont="1" applyFill="1" applyBorder="1" applyAlignment="1">
      <alignment horizontal="center" vertical="center"/>
    </xf>
    <xf numFmtId="0" fontId="64" fillId="2" borderId="12" xfId="0" applyFont="1" applyFill="1" applyBorder="1" applyAlignment="1">
      <alignment horizontal="center" vertical="center"/>
    </xf>
    <xf numFmtId="0" fontId="1" fillId="0" borderId="31" xfId="0" applyFont="1" applyBorder="1" applyAlignment="1">
      <alignment horizontal="center" vertical="center"/>
    </xf>
    <xf numFmtId="0" fontId="1" fillId="2" borderId="28" xfId="0" applyFont="1" applyFill="1" applyBorder="1" applyAlignment="1">
      <alignment horizontal="center" vertical="center"/>
    </xf>
    <xf numFmtId="0" fontId="1" fillId="2" borderId="32" xfId="0" applyFont="1" applyFill="1" applyBorder="1" applyAlignment="1">
      <alignment horizontal="center" vertical="center"/>
    </xf>
    <xf numFmtId="0" fontId="1" fillId="3" borderId="33" xfId="0" applyFont="1" applyFill="1" applyBorder="1" applyAlignment="1">
      <alignment horizontal="center" vertical="center"/>
    </xf>
    <xf numFmtId="0" fontId="1" fillId="3" borderId="22" xfId="0" applyFont="1" applyFill="1" applyBorder="1" applyAlignment="1">
      <alignment horizontal="center" vertical="center"/>
    </xf>
    <xf numFmtId="0" fontId="2" fillId="0" borderId="28" xfId="0" applyFont="1" applyBorder="1" applyAlignment="1">
      <alignment horizontal="center" vertical="center"/>
    </xf>
    <xf numFmtId="0" fontId="2" fillId="0" borderId="29" xfId="0" applyFont="1" applyBorder="1" applyAlignment="1">
      <alignment horizontal="center" vertical="center"/>
    </xf>
    <xf numFmtId="0" fontId="2" fillId="0" borderId="30" xfId="0" applyFont="1" applyBorder="1" applyAlignment="1">
      <alignment horizontal="center" vertical="center"/>
    </xf>
    <xf numFmtId="0" fontId="2" fillId="0" borderId="25" xfId="0" applyFont="1" applyBorder="1" applyAlignment="1">
      <alignment horizontal="center" vertical="center"/>
    </xf>
    <xf numFmtId="0" fontId="2" fillId="0" borderId="26" xfId="0" applyFont="1" applyBorder="1" applyAlignment="1">
      <alignment horizontal="center" vertical="center"/>
    </xf>
    <xf numFmtId="0" fontId="2" fillId="0" borderId="27" xfId="0" applyFont="1" applyBorder="1" applyAlignment="1">
      <alignment horizontal="center" vertical="center"/>
    </xf>
    <xf numFmtId="0" fontId="1" fillId="0" borderId="33" xfId="0" applyFont="1" applyBorder="1" applyAlignment="1">
      <alignment vertical="center" wrapText="1"/>
    </xf>
    <xf numFmtId="0" fontId="1" fillId="0" borderId="23" xfId="0" applyFont="1" applyBorder="1" applyAlignment="1">
      <alignment vertical="center" wrapText="1"/>
    </xf>
    <xf numFmtId="0" fontId="1" fillId="3" borderId="55" xfId="0" applyFont="1" applyFill="1" applyBorder="1" applyAlignment="1">
      <alignment horizontal="center" vertical="center"/>
    </xf>
    <xf numFmtId="0" fontId="1" fillId="3" borderId="29" xfId="0" applyFont="1" applyFill="1" applyBorder="1" applyAlignment="1">
      <alignment horizontal="center" vertical="center"/>
    </xf>
    <xf numFmtId="0" fontId="1" fillId="0" borderId="28" xfId="0" applyFont="1" applyBorder="1" applyAlignment="1">
      <alignment horizontal="center" vertical="center"/>
    </xf>
    <xf numFmtId="0" fontId="1" fillId="0" borderId="29" xfId="0" applyFont="1" applyBorder="1" applyAlignment="1">
      <alignment horizontal="center" vertical="center"/>
    </xf>
    <xf numFmtId="0" fontId="1" fillId="0" borderId="30" xfId="0" applyFont="1" applyBorder="1" applyAlignment="1">
      <alignment horizontal="center" vertical="center"/>
    </xf>
    <xf numFmtId="0" fontId="1" fillId="2" borderId="22" xfId="0" applyFont="1" applyFill="1" applyBorder="1" applyAlignment="1">
      <alignment horizontal="center" vertical="center"/>
    </xf>
    <xf numFmtId="0" fontId="1" fillId="0" borderId="10" xfId="0" applyFont="1" applyBorder="1" applyAlignment="1">
      <alignment vertical="center"/>
    </xf>
    <xf numFmtId="0" fontId="1" fillId="0" borderId="11" xfId="0" applyFont="1" applyBorder="1" applyAlignment="1">
      <alignment vertical="center"/>
    </xf>
    <xf numFmtId="0" fontId="1" fillId="0" borderId="24" xfId="0" applyFont="1" applyBorder="1" applyAlignment="1">
      <alignment vertical="center"/>
    </xf>
    <xf numFmtId="0" fontId="3" fillId="2" borderId="37" xfId="0" applyFont="1" applyFill="1" applyBorder="1" applyAlignment="1">
      <alignment horizontal="center" vertical="center"/>
    </xf>
    <xf numFmtId="0" fontId="3" fillId="2" borderId="11" xfId="0" applyFont="1" applyFill="1" applyBorder="1" applyAlignment="1">
      <alignment horizontal="center" vertical="center"/>
    </xf>
    <xf numFmtId="0" fontId="3" fillId="2" borderId="12" xfId="0" applyFont="1" applyFill="1" applyBorder="1" applyAlignment="1">
      <alignment horizontal="center" vertical="center"/>
    </xf>
    <xf numFmtId="0" fontId="1" fillId="0" borderId="37" xfId="0" applyFont="1" applyBorder="1" applyAlignment="1">
      <alignment horizontal="center" vertical="center"/>
    </xf>
    <xf numFmtId="0" fontId="1" fillId="0" borderId="11" xfId="0" applyFont="1" applyBorder="1" applyAlignment="1">
      <alignment horizontal="center" vertical="center"/>
    </xf>
    <xf numFmtId="0" fontId="1" fillId="0" borderId="24" xfId="0" applyFont="1" applyBorder="1" applyAlignment="1">
      <alignment horizontal="center" vertical="center"/>
    </xf>
    <xf numFmtId="0" fontId="6" fillId="2" borderId="21" xfId="0" applyFont="1" applyFill="1" applyBorder="1" applyAlignment="1">
      <alignment horizontal="center" vertical="center"/>
    </xf>
    <xf numFmtId="0" fontId="6" fillId="2" borderId="22" xfId="0" applyFont="1" applyFill="1" applyBorder="1" applyAlignment="1">
      <alignment horizontal="center" vertical="center"/>
    </xf>
    <xf numFmtId="0" fontId="6" fillId="2" borderId="35" xfId="0" applyFont="1" applyFill="1" applyBorder="1" applyAlignment="1">
      <alignment horizontal="center" vertical="center"/>
    </xf>
    <xf numFmtId="0" fontId="1" fillId="0" borderId="25" xfId="0" applyFont="1" applyBorder="1" applyAlignment="1">
      <alignment vertical="center"/>
    </xf>
    <xf numFmtId="0" fontId="1" fillId="0" borderId="6" xfId="0" applyFont="1" applyFill="1" applyBorder="1" applyAlignment="1">
      <alignment horizontal="center" vertical="center" wrapText="1"/>
    </xf>
    <xf numFmtId="0" fontId="1" fillId="0" borderId="7" xfId="0" applyFont="1" applyFill="1" applyBorder="1" applyAlignment="1">
      <alignment horizontal="center" vertical="center" wrapText="1"/>
    </xf>
    <xf numFmtId="0" fontId="1" fillId="0" borderId="40" xfId="0" applyFont="1" applyFill="1" applyBorder="1" applyAlignment="1">
      <alignment horizontal="center" vertical="center" wrapText="1"/>
    </xf>
    <xf numFmtId="0" fontId="1" fillId="0" borderId="10" xfId="0" applyFont="1" applyFill="1" applyBorder="1" applyAlignment="1">
      <alignment horizontal="center" vertical="center" wrapText="1"/>
    </xf>
    <xf numFmtId="0" fontId="1" fillId="0" borderId="11" xfId="0" applyFont="1" applyFill="1" applyBorder="1" applyAlignment="1">
      <alignment horizontal="center" vertical="center" wrapText="1"/>
    </xf>
    <xf numFmtId="0" fontId="1" fillId="0" borderId="24" xfId="0" applyFont="1" applyFill="1" applyBorder="1" applyAlignment="1">
      <alignment horizontal="center" vertical="center" wrapText="1"/>
    </xf>
    <xf numFmtId="0" fontId="1" fillId="0" borderId="54" xfId="0" applyFont="1" applyBorder="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2" borderId="29" xfId="0" applyFont="1" applyFill="1" applyBorder="1" applyAlignment="1">
      <alignment horizontal="center" vertical="center"/>
    </xf>
    <xf numFmtId="0" fontId="1" fillId="0" borderId="8" xfId="0" applyFont="1" applyFill="1" applyBorder="1" applyAlignment="1">
      <alignment horizontal="center" vertical="center" wrapText="1"/>
    </xf>
    <xf numFmtId="0" fontId="1" fillId="0" borderId="12" xfId="0" applyFont="1" applyFill="1" applyBorder="1" applyAlignment="1">
      <alignment horizontal="center" vertical="center" wrapText="1"/>
    </xf>
    <xf numFmtId="0" fontId="1" fillId="2" borderId="36" xfId="0" applyFont="1" applyFill="1" applyBorder="1" applyAlignment="1">
      <alignment horizontal="center" vertical="center" wrapText="1"/>
    </xf>
    <xf numFmtId="0" fontId="1" fillId="2" borderId="7" xfId="0" applyFont="1" applyFill="1" applyBorder="1" applyAlignment="1">
      <alignment horizontal="center" vertical="center" wrapText="1"/>
    </xf>
    <xf numFmtId="0" fontId="1" fillId="2" borderId="8" xfId="0" applyFont="1" applyFill="1" applyBorder="1" applyAlignment="1">
      <alignment horizontal="center" vertical="center" wrapText="1"/>
    </xf>
    <xf numFmtId="0" fontId="1" fillId="2" borderId="37" xfId="0" applyFont="1" applyFill="1" applyBorder="1" applyAlignment="1">
      <alignment horizontal="center" vertical="center" wrapText="1"/>
    </xf>
    <xf numFmtId="0" fontId="1" fillId="2" borderId="11" xfId="0" applyFont="1" applyFill="1" applyBorder="1" applyAlignment="1">
      <alignment horizontal="center" vertical="center" wrapText="1"/>
    </xf>
    <xf numFmtId="0" fontId="1" fillId="2" borderId="12" xfId="0" applyFont="1" applyFill="1" applyBorder="1" applyAlignment="1">
      <alignment horizontal="center" vertical="center" wrapText="1"/>
    </xf>
    <xf numFmtId="0" fontId="1" fillId="2" borderId="23"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2" borderId="7"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37" xfId="0" applyFont="1" applyFill="1" applyBorder="1" applyAlignment="1">
      <alignment horizontal="center" vertical="center" wrapText="1"/>
    </xf>
    <xf numFmtId="0" fontId="3" fillId="2" borderId="11" xfId="0" applyFont="1" applyFill="1" applyBorder="1" applyAlignment="1">
      <alignment horizontal="center" vertical="center" wrapText="1"/>
    </xf>
    <xf numFmtId="0" fontId="3" fillId="2" borderId="12" xfId="0" applyFont="1" applyFill="1" applyBorder="1" applyAlignment="1">
      <alignment horizontal="center" vertical="center" wrapText="1"/>
    </xf>
    <xf numFmtId="0" fontId="63" fillId="2" borderId="36" xfId="0" applyFont="1" applyFill="1" applyBorder="1" applyAlignment="1">
      <alignment horizontal="center" vertical="center" wrapText="1"/>
    </xf>
    <xf numFmtId="0" fontId="63" fillId="2" borderId="7" xfId="0" applyFont="1" applyFill="1" applyBorder="1" applyAlignment="1">
      <alignment horizontal="center" vertical="center" wrapText="1"/>
    </xf>
    <xf numFmtId="0" fontId="63" fillId="2" borderId="8" xfId="0" applyFont="1" applyFill="1" applyBorder="1" applyAlignment="1">
      <alignment horizontal="center" vertical="center" wrapText="1"/>
    </xf>
    <xf numFmtId="0" fontId="63" fillId="2" borderId="2" xfId="0" applyFont="1" applyFill="1" applyBorder="1" applyAlignment="1">
      <alignment horizontal="center" vertical="center" wrapText="1"/>
    </xf>
    <xf numFmtId="0" fontId="63" fillId="2" borderId="3" xfId="0" applyFont="1" applyFill="1" applyBorder="1" applyAlignment="1">
      <alignment horizontal="center" vertical="center" wrapText="1"/>
    </xf>
    <xf numFmtId="0" fontId="63" fillId="2" borderId="41" xfId="0" applyFont="1" applyFill="1" applyBorder="1" applyAlignment="1">
      <alignment horizontal="center" vertical="center" wrapText="1"/>
    </xf>
    <xf numFmtId="0" fontId="1" fillId="0" borderId="54" xfId="0" applyFont="1" applyFill="1" applyBorder="1" applyAlignment="1">
      <alignment horizontal="center" vertical="center" wrapText="1"/>
    </xf>
    <xf numFmtId="0" fontId="1" fillId="0" borderId="3" xfId="0" applyFont="1" applyFill="1" applyBorder="1" applyAlignment="1">
      <alignment horizontal="center" vertical="center" wrapText="1"/>
    </xf>
    <xf numFmtId="0" fontId="1" fillId="0" borderId="4" xfId="0" applyFont="1" applyFill="1" applyBorder="1" applyAlignment="1">
      <alignment horizontal="center" vertical="center" wrapText="1"/>
    </xf>
    <xf numFmtId="0" fontId="1" fillId="0" borderId="41" xfId="0" applyFont="1" applyFill="1" applyBorder="1" applyAlignment="1">
      <alignment horizontal="center" vertical="center" wrapText="1"/>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1" fillId="0" borderId="92" xfId="0" applyFont="1" applyBorder="1" applyAlignment="1">
      <alignment horizontal="center" vertical="center"/>
    </xf>
    <xf numFmtId="0" fontId="1" fillId="0" borderId="0" xfId="0" applyFont="1" applyBorder="1" applyAlignment="1">
      <alignment horizontal="center" vertical="center"/>
    </xf>
    <xf numFmtId="0" fontId="1" fillId="0" borderId="9" xfId="0" applyFont="1" applyBorder="1" applyAlignment="1">
      <alignment horizontal="center" vertical="center"/>
    </xf>
    <xf numFmtId="0" fontId="1" fillId="0" borderId="10" xfId="0" applyFont="1" applyBorder="1" applyAlignment="1">
      <alignment horizontal="center" vertical="center"/>
    </xf>
    <xf numFmtId="0" fontId="1" fillId="0" borderId="12" xfId="0" applyFont="1" applyBorder="1" applyAlignment="1">
      <alignment horizontal="center" vertical="center"/>
    </xf>
    <xf numFmtId="0" fontId="69" fillId="2" borderId="25" xfId="0" applyFont="1" applyFill="1" applyBorder="1" applyAlignment="1">
      <alignment horizontal="center" vertical="center"/>
    </xf>
    <xf numFmtId="0" fontId="69" fillId="2" borderId="26" xfId="0" applyFont="1" applyFill="1" applyBorder="1" applyAlignment="1">
      <alignment horizontal="center" vertical="center"/>
    </xf>
    <xf numFmtId="0" fontId="69" fillId="2" borderId="31" xfId="0" applyFont="1" applyFill="1" applyBorder="1" applyAlignment="1">
      <alignment horizontal="center" vertical="center"/>
    </xf>
    <xf numFmtId="0" fontId="5" fillId="2" borderId="28" xfId="0" applyFont="1" applyFill="1" applyBorder="1" applyAlignment="1">
      <alignment horizontal="center" vertical="center" wrapText="1"/>
    </xf>
    <xf numFmtId="0" fontId="69" fillId="2" borderId="29" xfId="0" applyFont="1" applyFill="1" applyBorder="1" applyAlignment="1">
      <alignment horizontal="center" vertical="center"/>
    </xf>
    <xf numFmtId="0" fontId="69" fillId="2" borderId="32" xfId="0" applyFont="1" applyFill="1" applyBorder="1" applyAlignment="1">
      <alignment horizontal="center" vertical="center"/>
    </xf>
    <xf numFmtId="0" fontId="68" fillId="2" borderId="21" xfId="0" applyFont="1" applyFill="1" applyBorder="1" applyAlignment="1">
      <alignment horizontal="center" vertical="center"/>
    </xf>
    <xf numFmtId="0" fontId="68" fillId="2" borderId="22" xfId="0" applyFont="1" applyFill="1" applyBorder="1" applyAlignment="1">
      <alignment horizontal="center" vertical="center"/>
    </xf>
    <xf numFmtId="0" fontId="68" fillId="2" borderId="23" xfId="0" applyFont="1" applyFill="1" applyBorder="1" applyAlignment="1">
      <alignment horizontal="center" vertical="center"/>
    </xf>
    <xf numFmtId="0" fontId="68" fillId="2" borderId="13" xfId="0" applyFont="1" applyFill="1" applyBorder="1" applyAlignment="1">
      <alignment horizontal="center" vertical="center"/>
    </xf>
    <xf numFmtId="0" fontId="68" fillId="2" borderId="35" xfId="0" applyFont="1" applyFill="1" applyBorder="1" applyAlignment="1">
      <alignment horizontal="center" vertical="center"/>
    </xf>
    <xf numFmtId="0" fontId="68" fillId="2" borderId="14" xfId="0" applyFont="1" applyFill="1" applyBorder="1" applyAlignment="1">
      <alignment horizontal="center" vertical="center"/>
    </xf>
    <xf numFmtId="0" fontId="68" fillId="2" borderId="15" xfId="0" applyFont="1" applyFill="1" applyBorder="1" applyAlignment="1">
      <alignment horizontal="center" vertical="center"/>
    </xf>
    <xf numFmtId="0" fontId="69" fillId="0" borderId="5" xfId="0" applyFont="1" applyBorder="1" applyAlignment="1">
      <alignment vertical="center"/>
    </xf>
    <xf numFmtId="0" fontId="69" fillId="0" borderId="17" xfId="0" applyFont="1" applyBorder="1" applyAlignment="1">
      <alignment vertical="center"/>
    </xf>
    <xf numFmtId="0" fontId="69" fillId="0" borderId="19" xfId="0" applyFont="1" applyBorder="1" applyAlignment="1">
      <alignment vertical="center"/>
    </xf>
    <xf numFmtId="0" fontId="69" fillId="0" borderId="20" xfId="0" applyFont="1" applyBorder="1" applyAlignment="1">
      <alignment vertical="center"/>
    </xf>
    <xf numFmtId="0" fontId="5" fillId="2" borderId="25" xfId="0" applyFont="1" applyFill="1" applyBorder="1" applyAlignment="1">
      <alignment horizontal="center" vertical="center" wrapText="1"/>
    </xf>
    <xf numFmtId="0" fontId="5" fillId="2" borderId="26" xfId="0" applyFont="1" applyFill="1" applyBorder="1" applyAlignment="1">
      <alignment horizontal="center" vertical="center"/>
    </xf>
    <xf numFmtId="0" fontId="5" fillId="2" borderId="31" xfId="0" applyFont="1" applyFill="1" applyBorder="1" applyAlignment="1">
      <alignment horizontal="center" vertical="center"/>
    </xf>
    <xf numFmtId="0" fontId="69" fillId="2" borderId="28" xfId="0" applyFont="1" applyFill="1" applyBorder="1" applyAlignment="1">
      <alignment horizontal="center" vertical="center"/>
    </xf>
    <xf numFmtId="0" fontId="68" fillId="0" borderId="5" xfId="0" applyFont="1" applyBorder="1" applyAlignment="1">
      <alignment vertical="center"/>
    </xf>
    <xf numFmtId="0" fontId="68" fillId="0" borderId="17" xfId="0" applyFont="1" applyBorder="1" applyAlignment="1">
      <alignment vertical="center"/>
    </xf>
    <xf numFmtId="0" fontId="68" fillId="0" borderId="25" xfId="0" applyFont="1" applyBorder="1" applyAlignment="1">
      <alignment vertical="center"/>
    </xf>
    <xf numFmtId="0" fontId="68" fillId="0" borderId="26" xfId="0" applyFont="1" applyBorder="1" applyAlignment="1">
      <alignment vertical="center"/>
    </xf>
    <xf numFmtId="0" fontId="68" fillId="0" borderId="28" xfId="0" applyFont="1" applyBorder="1" applyAlignment="1">
      <alignment vertical="center"/>
    </xf>
    <xf numFmtId="0" fontId="68" fillId="0" borderId="29" xfId="0" applyFont="1" applyBorder="1" applyAlignment="1">
      <alignment vertical="center"/>
    </xf>
    <xf numFmtId="0" fontId="69" fillId="0" borderId="25" xfId="0" applyFont="1" applyBorder="1" applyAlignment="1">
      <alignment vertical="center"/>
    </xf>
    <xf numFmtId="0" fontId="69" fillId="0" borderId="26" xfId="0" applyFont="1" applyBorder="1" applyAlignment="1">
      <alignment vertical="center"/>
    </xf>
    <xf numFmtId="0" fontId="69" fillId="0" borderId="5" xfId="0" applyFont="1" applyFill="1" applyBorder="1" applyAlignment="1">
      <alignment vertical="center"/>
    </xf>
    <xf numFmtId="0" fontId="69" fillId="0" borderId="19" xfId="0" applyFont="1" applyFill="1" applyBorder="1" applyAlignment="1">
      <alignment vertical="center"/>
    </xf>
    <xf numFmtId="0" fontId="1" fillId="0" borderId="33" xfId="0" applyFont="1" applyBorder="1" applyAlignment="1">
      <alignment horizontal="center" vertical="center"/>
    </xf>
    <xf numFmtId="0" fontId="1" fillId="0" borderId="22" xfId="0" applyFont="1" applyBorder="1" applyAlignment="1">
      <alignment horizontal="center" vertical="center"/>
    </xf>
    <xf numFmtId="0" fontId="1" fillId="0" borderId="23" xfId="0" applyFont="1" applyBorder="1" applyAlignment="1">
      <alignment horizontal="center" vertical="center"/>
    </xf>
    <xf numFmtId="0" fontId="7" fillId="0" borderId="34"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27" xfId="0" applyFont="1" applyBorder="1" applyAlignment="1">
      <alignment horizontal="center" vertical="center" wrapText="1"/>
    </xf>
    <xf numFmtId="0" fontId="68" fillId="0" borderId="55" xfId="0" applyFont="1" applyBorder="1" applyAlignment="1">
      <alignment horizontal="center" vertical="center"/>
    </xf>
    <xf numFmtId="0" fontId="68" fillId="0" borderId="29" xfId="0" applyFont="1" applyBorder="1" applyAlignment="1">
      <alignment horizontal="center" vertical="center"/>
    </xf>
    <xf numFmtId="0" fontId="68" fillId="0" borderId="30" xfId="0" applyFont="1" applyBorder="1" applyAlignment="1">
      <alignment horizontal="center" vertical="center"/>
    </xf>
    <xf numFmtId="0" fontId="69" fillId="0" borderId="31" xfId="0" applyFont="1" applyBorder="1" applyAlignment="1">
      <alignment vertical="center"/>
    </xf>
    <xf numFmtId="0" fontId="1" fillId="3" borderId="34" xfId="0" applyFont="1" applyFill="1" applyBorder="1" applyAlignment="1">
      <alignment horizontal="center" vertical="center"/>
    </xf>
    <xf numFmtId="0" fontId="1" fillId="3" borderId="26" xfId="0" applyFont="1" applyFill="1" applyBorder="1" applyAlignment="1">
      <alignment horizontal="center" vertical="center"/>
    </xf>
    <xf numFmtId="0" fontId="68" fillId="0" borderId="19" xfId="0" applyFont="1" applyBorder="1" applyAlignment="1">
      <alignment vertical="center"/>
    </xf>
    <xf numFmtId="0" fontId="68" fillId="0" borderId="20" xfId="0" applyFont="1" applyBorder="1" applyAlignment="1">
      <alignment vertical="center"/>
    </xf>
    <xf numFmtId="0" fontId="5" fillId="2" borderId="32" xfId="0" applyFont="1" applyFill="1" applyBorder="1" applyAlignment="1">
      <alignment horizontal="center" vertical="center"/>
    </xf>
    <xf numFmtId="0" fontId="69" fillId="2" borderId="16" xfId="0" applyFont="1" applyFill="1" applyBorder="1" applyAlignment="1">
      <alignment horizontal="center" vertical="center"/>
    </xf>
    <xf numFmtId="0" fontId="69" fillId="2" borderId="5" xfId="0" applyFont="1" applyFill="1" applyBorder="1" applyAlignment="1">
      <alignment horizontal="center" vertical="center"/>
    </xf>
    <xf numFmtId="0" fontId="5" fillId="2" borderId="16" xfId="0" applyFont="1" applyFill="1" applyBorder="1" applyAlignment="1">
      <alignment horizontal="center" vertical="center" wrapText="1"/>
    </xf>
    <xf numFmtId="0" fontId="5" fillId="2" borderId="5" xfId="0" applyFont="1" applyFill="1" applyBorder="1" applyAlignment="1">
      <alignment horizontal="center" vertical="center"/>
    </xf>
    <xf numFmtId="0" fontId="69" fillId="0" borderId="28" xfId="0" applyFont="1" applyBorder="1" applyAlignment="1">
      <alignment vertical="center"/>
    </xf>
    <xf numFmtId="0" fontId="69" fillId="0" borderId="29" xfId="0" applyFont="1" applyBorder="1" applyAlignment="1">
      <alignment vertical="center"/>
    </xf>
    <xf numFmtId="0" fontId="69" fillId="0" borderId="32" xfId="0" applyFont="1" applyBorder="1" applyAlignment="1">
      <alignment vertical="center"/>
    </xf>
    <xf numFmtId="0" fontId="69" fillId="3" borderId="5" xfId="0" applyFont="1" applyFill="1" applyBorder="1" applyAlignment="1">
      <alignment vertical="center"/>
    </xf>
    <xf numFmtId="0" fontId="69" fillId="3" borderId="17" xfId="0" applyFont="1" applyFill="1" applyBorder="1" applyAlignment="1">
      <alignment vertical="center"/>
    </xf>
    <xf numFmtId="0" fontId="69" fillId="2" borderId="18" xfId="0" applyFont="1" applyFill="1" applyBorder="1" applyAlignment="1">
      <alignment horizontal="center" vertical="center"/>
    </xf>
    <xf numFmtId="0" fontId="69" fillId="2" borderId="19" xfId="0" applyFont="1" applyFill="1" applyBorder="1" applyAlignment="1">
      <alignment horizontal="center" vertical="center"/>
    </xf>
    <xf numFmtId="0" fontId="69" fillId="2" borderId="16" xfId="0" applyFont="1" applyFill="1" applyBorder="1" applyAlignment="1">
      <alignment horizontal="center" vertical="center" wrapText="1"/>
    </xf>
    <xf numFmtId="0" fontId="69" fillId="2" borderId="5" xfId="0" applyFont="1" applyFill="1" applyBorder="1" applyAlignment="1">
      <alignment horizontal="center" vertical="center" wrapText="1"/>
    </xf>
    <xf numFmtId="2" fontId="1" fillId="0" borderId="34" xfId="0" applyNumberFormat="1" applyFont="1" applyBorder="1" applyAlignment="1">
      <alignment vertical="center"/>
    </xf>
    <xf numFmtId="2" fontId="1" fillId="0" borderId="27" xfId="0" applyNumberFormat="1" applyFont="1" applyBorder="1" applyAlignment="1">
      <alignment vertical="center"/>
    </xf>
    <xf numFmtId="0" fontId="1" fillId="0" borderId="32" xfId="0" applyFont="1" applyBorder="1" applyAlignment="1">
      <alignment horizontal="center" vertical="center"/>
    </xf>
    <xf numFmtId="0" fontId="69" fillId="2" borderId="59" xfId="0" applyFont="1" applyFill="1" applyBorder="1" applyAlignment="1">
      <alignment horizontal="center" vertical="center" wrapText="1"/>
    </xf>
    <xf numFmtId="0" fontId="69" fillId="2" borderId="57" xfId="0" applyFont="1" applyFill="1" applyBorder="1" applyAlignment="1">
      <alignment horizontal="center" vertical="center" wrapText="1"/>
    </xf>
    <xf numFmtId="0" fontId="69" fillId="2" borderId="58" xfId="0" applyFont="1" applyFill="1" applyBorder="1" applyAlignment="1">
      <alignment horizontal="center" vertical="center" wrapText="1"/>
    </xf>
    <xf numFmtId="0" fontId="68" fillId="0" borderId="56" xfId="0" applyFont="1" applyBorder="1" applyAlignment="1">
      <alignment horizontal="center" vertical="center"/>
    </xf>
    <xf numFmtId="0" fontId="68" fillId="0" borderId="60" xfId="0" applyFont="1" applyBorder="1" applyAlignment="1">
      <alignment horizontal="center" vertical="center"/>
    </xf>
    <xf numFmtId="0" fontId="1" fillId="0" borderId="29" xfId="0" applyNumberFormat="1" applyFont="1" applyBorder="1" applyAlignment="1">
      <alignment vertical="center"/>
    </xf>
    <xf numFmtId="0" fontId="1" fillId="0" borderId="32" xfId="0" applyNumberFormat="1" applyFont="1" applyBorder="1" applyAlignment="1">
      <alignment vertical="center"/>
    </xf>
    <xf numFmtId="49" fontId="1" fillId="0" borderId="26" xfId="0" applyNumberFormat="1" applyFont="1" applyBorder="1" applyAlignment="1">
      <alignment vertical="center"/>
    </xf>
    <xf numFmtId="0" fontId="1" fillId="0" borderId="36" xfId="0" applyFont="1" applyBorder="1" applyAlignment="1">
      <alignment horizontal="center" vertical="center"/>
    </xf>
    <xf numFmtId="0" fontId="1" fillId="0" borderId="38" xfId="0" applyFont="1" applyBorder="1" applyAlignment="1">
      <alignment horizontal="center" vertical="center"/>
    </xf>
    <xf numFmtId="0" fontId="1" fillId="0" borderId="39" xfId="0" applyFont="1" applyBorder="1" applyAlignment="1">
      <alignment horizontal="center" vertical="center"/>
    </xf>
    <xf numFmtId="0" fontId="1" fillId="0" borderId="40" xfId="0" applyFont="1" applyBorder="1" applyAlignment="1">
      <alignment horizontal="center" vertical="center"/>
    </xf>
    <xf numFmtId="0" fontId="2" fillId="2" borderId="34" xfId="0" applyFont="1" applyFill="1" applyBorder="1" applyAlignment="1">
      <alignment horizontal="center" vertical="center"/>
    </xf>
    <xf numFmtId="0" fontId="2" fillId="2" borderId="26" xfId="0" applyFont="1" applyFill="1" applyBorder="1" applyAlignment="1">
      <alignment horizontal="center" vertical="center"/>
    </xf>
    <xf numFmtId="0" fontId="2" fillId="2" borderId="27" xfId="0" applyFont="1" applyFill="1" applyBorder="1" applyAlignment="1">
      <alignment horizontal="center" vertical="center"/>
    </xf>
    <xf numFmtId="0" fontId="1" fillId="0" borderId="51" xfId="0" applyFont="1" applyBorder="1" applyAlignment="1">
      <alignment horizontal="center" vertical="center"/>
    </xf>
    <xf numFmtId="0" fontId="1" fillId="0" borderId="42" xfId="0" applyFont="1" applyBorder="1" applyAlignment="1">
      <alignment horizontal="center" vertical="center"/>
    </xf>
    <xf numFmtId="0" fontId="1" fillId="0" borderId="43" xfId="0" applyFont="1" applyBorder="1" applyAlignment="1">
      <alignment horizontal="center" vertical="center"/>
    </xf>
    <xf numFmtId="0" fontId="1" fillId="0" borderId="50" xfId="0" applyFont="1" applyBorder="1" applyAlignment="1">
      <alignment horizontal="center" vertical="center"/>
    </xf>
    <xf numFmtId="0" fontId="1" fillId="0" borderId="48" xfId="0" applyFont="1" applyBorder="1" applyAlignment="1">
      <alignment horizontal="center" vertical="center"/>
    </xf>
    <xf numFmtId="0" fontId="1" fillId="0" borderId="46" xfId="0" applyFont="1" applyBorder="1" applyAlignment="1">
      <alignment horizontal="center" vertical="center"/>
    </xf>
    <xf numFmtId="0" fontId="1" fillId="0" borderId="45" xfId="0" applyFont="1" applyBorder="1" applyAlignment="1">
      <alignment horizontal="center" vertical="center"/>
    </xf>
    <xf numFmtId="0" fontId="1" fillId="0" borderId="49" xfId="0" applyFont="1" applyBorder="1" applyAlignment="1">
      <alignment horizontal="center" vertical="center"/>
    </xf>
    <xf numFmtId="0" fontId="1" fillId="0" borderId="2" xfId="0" applyFont="1" applyBorder="1" applyAlignment="1">
      <alignment horizontal="center" vertical="center"/>
    </xf>
    <xf numFmtId="0" fontId="1" fillId="0" borderId="41" xfId="0" applyFont="1" applyBorder="1" applyAlignment="1">
      <alignment horizontal="center" vertical="center"/>
    </xf>
    <xf numFmtId="0" fontId="1" fillId="0" borderId="52" xfId="0" applyFont="1" applyBorder="1" applyAlignment="1">
      <alignment horizontal="center" vertical="center"/>
    </xf>
    <xf numFmtId="0" fontId="1" fillId="0" borderId="54" xfId="0" applyFont="1" applyBorder="1" applyAlignment="1">
      <alignment horizontal="center" vertical="center"/>
    </xf>
    <xf numFmtId="0" fontId="1" fillId="0" borderId="4" xfId="0" applyFont="1" applyBorder="1" applyAlignment="1">
      <alignment horizontal="center" vertical="center"/>
    </xf>
    <xf numFmtId="0" fontId="1" fillId="2" borderId="5" xfId="0" applyFont="1" applyFill="1" applyBorder="1" applyAlignment="1">
      <alignment horizontal="center" vertical="center"/>
    </xf>
    <xf numFmtId="0" fontId="1" fillId="2" borderId="17" xfId="0" applyFont="1" applyFill="1" applyBorder="1" applyAlignment="1">
      <alignment horizontal="center" vertical="center"/>
    </xf>
    <xf numFmtId="0" fontId="1" fillId="2" borderId="45" xfId="0" applyFont="1" applyFill="1" applyBorder="1" applyAlignment="1">
      <alignment horizontal="center" vertical="center"/>
    </xf>
    <xf numFmtId="0" fontId="1" fillId="2" borderId="46" xfId="0" applyFont="1" applyFill="1" applyBorder="1" applyAlignment="1">
      <alignment horizontal="center" vertical="center"/>
    </xf>
    <xf numFmtId="0" fontId="2" fillId="0" borderId="42" xfId="0" applyFont="1" applyBorder="1" applyAlignment="1">
      <alignment horizontal="center" vertical="center" wrapText="1"/>
    </xf>
    <xf numFmtId="0" fontId="2" fillId="0" borderId="50" xfId="0" applyFont="1" applyBorder="1" applyAlignment="1">
      <alignment horizontal="center" vertical="center" wrapText="1"/>
    </xf>
    <xf numFmtId="0" fontId="3" fillId="2" borderId="45" xfId="0" applyFont="1" applyFill="1" applyBorder="1" applyAlignment="1">
      <alignment horizontal="center" vertical="center" wrapText="1"/>
    </xf>
    <xf numFmtId="0" fontId="3" fillId="2" borderId="49" xfId="0" applyFont="1" applyFill="1" applyBorder="1" applyAlignment="1">
      <alignment horizontal="center" vertical="center" wrapText="1"/>
    </xf>
    <xf numFmtId="0" fontId="2" fillId="0" borderId="53" xfId="0" applyFont="1" applyBorder="1" applyAlignment="1">
      <alignment horizontal="center" vertical="center" wrapText="1"/>
    </xf>
    <xf numFmtId="0" fontId="4" fillId="0" borderId="42" xfId="0" applyFont="1" applyBorder="1" applyAlignment="1">
      <alignment horizontal="center" vertical="center" wrapText="1"/>
    </xf>
    <xf numFmtId="0" fontId="4" fillId="0" borderId="44" xfId="0" applyFont="1" applyBorder="1" applyAlignment="1">
      <alignment horizontal="center" vertical="center" wrapText="1"/>
    </xf>
    <xf numFmtId="0" fontId="1" fillId="2" borderId="47" xfId="0" applyFont="1" applyFill="1" applyBorder="1" applyAlignment="1">
      <alignment horizontal="center" vertical="center" wrapText="1"/>
    </xf>
    <xf numFmtId="0" fontId="1" fillId="2" borderId="46" xfId="0" applyFont="1" applyFill="1" applyBorder="1" applyAlignment="1">
      <alignment horizontal="center" vertical="center" wrapText="1"/>
    </xf>
    <xf numFmtId="0" fontId="1" fillId="2" borderId="45" xfId="0" applyFont="1" applyFill="1" applyBorder="1" applyAlignment="1">
      <alignment horizontal="center" vertical="center" wrapText="1"/>
    </xf>
    <xf numFmtId="0" fontId="2" fillId="0" borderId="36" xfId="0" applyFont="1" applyBorder="1" applyAlignment="1">
      <alignment horizontal="center" vertical="center" wrapText="1"/>
    </xf>
    <xf numFmtId="0" fontId="2" fillId="0" borderId="40" xfId="0" applyFont="1" applyBorder="1" applyAlignment="1">
      <alignment horizontal="center" vertical="center" wrapText="1"/>
    </xf>
    <xf numFmtId="0" fontId="2" fillId="0" borderId="37" xfId="0" applyFont="1" applyBorder="1" applyAlignment="1">
      <alignment horizontal="center" vertical="center" wrapText="1"/>
    </xf>
    <xf numFmtId="0" fontId="2" fillId="0" borderId="24" xfId="0" applyFont="1" applyBorder="1" applyAlignment="1">
      <alignment horizontal="center" vertical="center" wrapText="1"/>
    </xf>
    <xf numFmtId="0" fontId="2" fillId="0" borderId="2" xfId="0" applyFont="1" applyBorder="1" applyAlignment="1">
      <alignment horizontal="center" vertical="center" wrapText="1"/>
    </xf>
    <xf numFmtId="0" fontId="2" fillId="0" borderId="4" xfId="0" applyFont="1" applyBorder="1" applyAlignment="1">
      <alignment horizontal="center" vertical="center" wrapText="1"/>
    </xf>
    <xf numFmtId="0" fontId="1" fillId="0" borderId="64" xfId="0" applyFont="1" applyBorder="1" applyAlignment="1">
      <alignment horizontal="center" vertical="center"/>
    </xf>
    <xf numFmtId="0" fontId="1" fillId="0" borderId="63" xfId="0" applyFont="1" applyBorder="1" applyAlignment="1">
      <alignment horizontal="center" vertical="center"/>
    </xf>
    <xf numFmtId="0" fontId="1" fillId="2" borderId="69" xfId="0" applyFont="1" applyFill="1" applyBorder="1" applyAlignment="1">
      <alignment horizontal="center" vertical="center"/>
    </xf>
    <xf numFmtId="0" fontId="1" fillId="2" borderId="67" xfId="0" applyFont="1" applyFill="1" applyBorder="1" applyAlignment="1">
      <alignment horizontal="center" vertical="center"/>
    </xf>
    <xf numFmtId="0" fontId="1" fillId="2" borderId="70" xfId="0" applyFont="1" applyFill="1" applyBorder="1" applyAlignment="1">
      <alignment horizontal="center" vertical="center"/>
    </xf>
    <xf numFmtId="0" fontId="1" fillId="2" borderId="61" xfId="0" applyFont="1" applyFill="1" applyBorder="1" applyAlignment="1">
      <alignment horizontal="center" vertical="center"/>
    </xf>
    <xf numFmtId="0" fontId="1" fillId="2" borderId="62" xfId="0" applyFont="1" applyFill="1" applyBorder="1" applyAlignment="1">
      <alignment horizontal="center" vertical="center"/>
    </xf>
    <xf numFmtId="0" fontId="1" fillId="2" borderId="63" xfId="0" applyFont="1" applyFill="1" applyBorder="1" applyAlignment="1">
      <alignment horizontal="center" vertical="center"/>
    </xf>
    <xf numFmtId="0" fontId="1" fillId="2" borderId="34" xfId="0" applyFont="1" applyFill="1" applyBorder="1" applyAlignment="1">
      <alignment vertical="center"/>
    </xf>
    <xf numFmtId="0" fontId="1" fillId="2" borderId="27" xfId="0" applyFont="1" applyFill="1" applyBorder="1" applyAlignment="1">
      <alignment vertical="center"/>
    </xf>
    <xf numFmtId="0" fontId="1" fillId="0" borderId="5" xfId="0" applyFont="1" applyBorder="1" applyAlignment="1">
      <alignment horizontal="center" vertical="center"/>
    </xf>
    <xf numFmtId="2" fontId="1" fillId="0" borderId="55" xfId="0" applyNumberFormat="1" applyFont="1" applyBorder="1" applyAlignment="1">
      <alignment vertical="center"/>
    </xf>
    <xf numFmtId="2" fontId="1" fillId="0" borderId="30" xfId="0" applyNumberFormat="1" applyFont="1" applyBorder="1" applyAlignment="1">
      <alignment vertical="center"/>
    </xf>
    <xf numFmtId="0" fontId="1" fillId="0" borderId="28" xfId="0" applyFont="1" applyBorder="1" applyAlignment="1">
      <alignment vertical="center"/>
    </xf>
    <xf numFmtId="0" fontId="1" fillId="0" borderId="21" xfId="0" applyFont="1" applyBorder="1" applyAlignment="1">
      <alignment vertical="center"/>
    </xf>
    <xf numFmtId="0" fontId="1" fillId="0" borderId="22" xfId="0" applyFont="1" applyBorder="1" applyAlignment="1">
      <alignment vertical="center"/>
    </xf>
    <xf numFmtId="0" fontId="1" fillId="0" borderId="35" xfId="0" applyFont="1" applyBorder="1" applyAlignment="1">
      <alignment vertical="center"/>
    </xf>
    <xf numFmtId="0" fontId="1" fillId="2" borderId="7" xfId="0" applyFont="1" applyFill="1" applyBorder="1" applyAlignment="1">
      <alignment horizontal="center" vertical="center"/>
    </xf>
    <xf numFmtId="0" fontId="1" fillId="0" borderId="66" xfId="0" applyFont="1" applyBorder="1" applyAlignment="1">
      <alignment horizontal="center" vertical="center"/>
    </xf>
    <xf numFmtId="0" fontId="1" fillId="0" borderId="67" xfId="0" applyFont="1" applyBorder="1" applyAlignment="1">
      <alignment horizontal="center" vertical="center"/>
    </xf>
    <xf numFmtId="0" fontId="1" fillId="0" borderId="68" xfId="0" applyFont="1" applyBorder="1" applyAlignment="1">
      <alignment horizontal="center" vertical="center"/>
    </xf>
    <xf numFmtId="0" fontId="1" fillId="2" borderId="13" xfId="0" applyFont="1" applyFill="1" applyBorder="1" applyAlignment="1">
      <alignment horizontal="center" vertical="center"/>
    </xf>
    <xf numFmtId="0" fontId="1" fillId="2" borderId="14" xfId="0" applyFont="1" applyFill="1" applyBorder="1" applyAlignment="1">
      <alignment horizontal="center" vertical="center"/>
    </xf>
    <xf numFmtId="0" fontId="1" fillId="2" borderId="15" xfId="0" applyFont="1" applyFill="1" applyBorder="1" applyAlignment="1">
      <alignment horizontal="center" vertical="center"/>
    </xf>
    <xf numFmtId="0" fontId="1" fillId="0" borderId="55" xfId="0" applyFont="1" applyBorder="1" applyAlignment="1">
      <alignment horizontal="center" vertical="center"/>
    </xf>
    <xf numFmtId="0" fontId="1" fillId="0" borderId="34" xfId="0" applyFont="1" applyFill="1" applyBorder="1" applyAlignment="1">
      <alignment horizontal="center" vertical="center"/>
    </xf>
    <xf numFmtId="0" fontId="1" fillId="0" borderId="26" xfId="0" applyFont="1" applyFill="1" applyBorder="1" applyAlignment="1">
      <alignment horizontal="center" vertical="center"/>
    </xf>
    <xf numFmtId="0" fontId="1" fillId="0" borderId="27" xfId="0" applyFont="1" applyFill="1" applyBorder="1" applyAlignment="1">
      <alignment horizontal="center" vertical="center"/>
    </xf>
    <xf numFmtId="0" fontId="4" fillId="3" borderId="22" xfId="0" applyFont="1" applyFill="1" applyBorder="1" applyAlignment="1">
      <alignment horizontal="center" vertical="center"/>
    </xf>
    <xf numFmtId="0" fontId="4" fillId="3" borderId="23" xfId="0" applyFont="1" applyFill="1" applyBorder="1" applyAlignment="1">
      <alignment horizontal="center" vertical="center"/>
    </xf>
    <xf numFmtId="0" fontId="1" fillId="0" borderId="31" xfId="0" applyFont="1" applyFill="1" applyBorder="1" applyAlignment="1">
      <alignment horizontal="center" vertical="center"/>
    </xf>
    <xf numFmtId="0" fontId="68" fillId="0" borderId="28" xfId="0" applyFont="1" applyBorder="1" applyAlignment="1">
      <alignment horizontal="center" vertical="center"/>
    </xf>
    <xf numFmtId="0" fontId="5" fillId="3" borderId="22" xfId="0" applyFont="1" applyFill="1" applyBorder="1" applyAlignment="1">
      <alignment horizontal="center" vertical="center"/>
    </xf>
    <xf numFmtId="0" fontId="5" fillId="3" borderId="23" xfId="0" applyFont="1" applyFill="1" applyBorder="1" applyAlignment="1">
      <alignment horizontal="center" vertical="center"/>
    </xf>
    <xf numFmtId="0" fontId="68" fillId="0" borderId="31" xfId="0" applyFont="1" applyFill="1" applyBorder="1" applyAlignment="1">
      <alignment horizontal="center" vertical="center"/>
    </xf>
    <xf numFmtId="0" fontId="3" fillId="0" borderId="45" xfId="0" applyFont="1" applyBorder="1" applyAlignment="1">
      <alignment horizontal="center" vertical="center" wrapText="1"/>
    </xf>
    <xf numFmtId="0" fontId="3" fillId="0" borderId="49" xfId="0" applyFont="1" applyBorder="1" applyAlignment="1">
      <alignment horizontal="center" vertical="center" wrapText="1"/>
    </xf>
    <xf numFmtId="0" fontId="2" fillId="0" borderId="42" xfId="0" applyFont="1" applyBorder="1" applyAlignment="1">
      <alignment horizontal="center" vertical="center"/>
    </xf>
    <xf numFmtId="0" fontId="2" fillId="0" borderId="44" xfId="0" applyFont="1" applyBorder="1" applyAlignment="1">
      <alignment horizontal="center" vertical="center"/>
    </xf>
    <xf numFmtId="0" fontId="2" fillId="0" borderId="50" xfId="0" applyFont="1" applyBorder="1" applyAlignment="1">
      <alignment horizontal="center" vertical="center"/>
    </xf>
    <xf numFmtId="0" fontId="1" fillId="2" borderId="37" xfId="0" applyFont="1" applyFill="1" applyBorder="1" applyAlignment="1">
      <alignment horizontal="center" vertical="center"/>
    </xf>
    <xf numFmtId="0" fontId="1" fillId="2" borderId="12" xfId="0" applyFont="1" applyFill="1" applyBorder="1" applyAlignment="1">
      <alignment horizontal="center" vertical="center"/>
    </xf>
    <xf numFmtId="0" fontId="1" fillId="0" borderId="45" xfId="0" applyFont="1" applyBorder="1" applyAlignment="1">
      <alignment horizontal="center" vertical="center" wrapText="1"/>
    </xf>
    <xf numFmtId="0" fontId="1" fillId="0" borderId="46" xfId="0" applyFont="1" applyBorder="1" applyAlignment="1">
      <alignment horizontal="center" vertical="center" wrapText="1"/>
    </xf>
    <xf numFmtId="0" fontId="1" fillId="0" borderId="49" xfId="0" applyFont="1" applyBorder="1" applyAlignment="1">
      <alignment horizontal="center" vertical="center" wrapText="1"/>
    </xf>
    <xf numFmtId="0" fontId="2" fillId="3" borderId="6" xfId="0" applyFont="1" applyFill="1" applyBorder="1" applyAlignment="1">
      <alignment horizontal="center" vertical="center" wrapText="1"/>
    </xf>
    <xf numFmtId="0" fontId="2" fillId="3" borderId="7" xfId="0" applyFont="1" applyFill="1" applyBorder="1" applyAlignment="1">
      <alignment horizontal="center" vertical="center" wrapText="1"/>
    </xf>
    <xf numFmtId="0" fontId="2" fillId="3" borderId="40" xfId="0" applyFont="1" applyFill="1" applyBorder="1" applyAlignment="1">
      <alignment horizontal="center" vertical="center" wrapText="1"/>
    </xf>
    <xf numFmtId="0" fontId="2" fillId="3" borderId="10" xfId="0" applyFont="1" applyFill="1" applyBorder="1" applyAlignment="1">
      <alignment horizontal="center" vertical="center" wrapText="1"/>
    </xf>
    <xf numFmtId="0" fontId="2" fillId="3" borderId="11" xfId="0" applyFont="1" applyFill="1" applyBorder="1" applyAlignment="1">
      <alignment horizontal="center" vertical="center" wrapText="1"/>
    </xf>
    <xf numFmtId="0" fontId="2" fillId="3" borderId="24" xfId="0" applyFont="1" applyFill="1" applyBorder="1" applyAlignment="1">
      <alignment horizontal="center" vertical="center" wrapText="1"/>
    </xf>
    <xf numFmtId="0" fontId="2" fillId="3" borderId="54" xfId="0" applyFont="1" applyFill="1" applyBorder="1" applyAlignment="1">
      <alignment horizontal="center" vertical="center" wrapText="1"/>
    </xf>
    <xf numFmtId="0" fontId="2" fillId="3" borderId="3" xfId="0" applyFont="1" applyFill="1" applyBorder="1" applyAlignment="1">
      <alignment horizontal="center" vertical="center" wrapText="1"/>
    </xf>
    <xf numFmtId="0" fontId="2" fillId="3" borderId="4" xfId="0" applyFont="1" applyFill="1" applyBorder="1" applyAlignment="1">
      <alignment horizontal="center" vertical="center" wrapText="1"/>
    </xf>
    <xf numFmtId="0" fontId="2" fillId="0" borderId="6" xfId="0" applyFont="1" applyBorder="1" applyAlignment="1">
      <alignment horizontal="center" vertical="center" wrapText="1"/>
    </xf>
    <xf numFmtId="0" fontId="2" fillId="0" borderId="7" xfId="0" applyFont="1" applyBorder="1" applyAlignment="1">
      <alignment horizontal="center" vertical="center" wrapText="1"/>
    </xf>
    <xf numFmtId="0" fontId="2" fillId="0" borderId="10" xfId="0" applyFont="1" applyBorder="1" applyAlignment="1">
      <alignment horizontal="center" vertical="center" wrapText="1"/>
    </xf>
    <xf numFmtId="0" fontId="2" fillId="0" borderId="11" xfId="0" applyFont="1" applyBorder="1" applyAlignment="1">
      <alignment horizontal="center" vertical="center" wrapText="1"/>
    </xf>
    <xf numFmtId="0" fontId="2" fillId="0" borderId="54" xfId="0" applyFont="1" applyBorder="1" applyAlignment="1">
      <alignment horizontal="center" vertical="center" wrapText="1"/>
    </xf>
    <xf numFmtId="0" fontId="2" fillId="0" borderId="3" xfId="0" applyFont="1" applyBorder="1" applyAlignment="1">
      <alignment horizontal="center" vertical="center" wrapText="1"/>
    </xf>
    <xf numFmtId="0" fontId="15" fillId="5" borderId="75" xfId="1" applyFont="1" applyFill="1" applyBorder="1" applyAlignment="1">
      <alignment horizontal="center"/>
    </xf>
    <xf numFmtId="0" fontId="15" fillId="5" borderId="76" xfId="1" applyFont="1" applyFill="1" applyBorder="1" applyAlignment="1">
      <alignment horizontal="center"/>
    </xf>
    <xf numFmtId="0" fontId="19" fillId="0" borderId="74" xfId="1" applyFont="1" applyBorder="1" applyAlignment="1">
      <alignment horizontal="center" wrapText="1"/>
    </xf>
    <xf numFmtId="0" fontId="20" fillId="0" borderId="72" xfId="1" applyFont="1" applyBorder="1"/>
    <xf numFmtId="0" fontId="20" fillId="0" borderId="73" xfId="1" applyFont="1" applyBorder="1"/>
    <xf numFmtId="0" fontId="62" fillId="0" borderId="5" xfId="1" applyFont="1" applyBorder="1" applyAlignment="1">
      <alignment horizontal="center"/>
    </xf>
    <xf numFmtId="0" fontId="30" fillId="0" borderId="85" xfId="2" applyFont="1" applyBorder="1" applyAlignment="1">
      <alignment horizontal="center" vertical="center" wrapText="1"/>
    </xf>
    <xf numFmtId="0" fontId="27" fillId="0" borderId="87" xfId="2" applyFont="1" applyBorder="1"/>
    <xf numFmtId="0" fontId="28" fillId="0" borderId="0" xfId="2" applyFont="1" applyAlignment="1">
      <alignment horizontal="center" vertical="center" wrapText="1"/>
    </xf>
    <xf numFmtId="0" fontId="25" fillId="0" borderId="0" xfId="2" applyFont="1" applyAlignment="1"/>
    <xf numFmtId="0" fontId="29" fillId="0" borderId="74" xfId="2" applyFont="1" applyBorder="1" applyAlignment="1">
      <alignment horizontal="center" vertical="center" wrapText="1"/>
    </xf>
    <xf numFmtId="0" fontId="27" fillId="0" borderId="75" xfId="2" applyFont="1" applyBorder="1"/>
    <xf numFmtId="0" fontId="27" fillId="0" borderId="76" xfId="2" applyFont="1" applyBorder="1"/>
    <xf numFmtId="0" fontId="26" fillId="0" borderId="85" xfId="2" applyFont="1" applyBorder="1" applyAlignment="1">
      <alignment horizontal="center" vertical="center" wrapText="1"/>
    </xf>
    <xf numFmtId="0" fontId="27" fillId="0" borderId="86" xfId="2" applyFont="1" applyBorder="1"/>
    <xf numFmtId="0" fontId="26" fillId="6" borderId="85" xfId="2" applyFont="1" applyFill="1" applyBorder="1" applyAlignment="1">
      <alignment horizontal="center" vertical="center" wrapText="1"/>
    </xf>
    <xf numFmtId="0" fontId="29" fillId="6" borderId="85" xfId="2" applyFont="1" applyFill="1" applyBorder="1" applyAlignment="1">
      <alignment horizontal="center" vertical="center" wrapText="1"/>
    </xf>
    <xf numFmtId="0" fontId="35" fillId="0" borderId="85" xfId="2" applyFont="1" applyBorder="1" applyAlignment="1">
      <alignment horizontal="center" vertical="center" wrapText="1"/>
    </xf>
    <xf numFmtId="0" fontId="42" fillId="0" borderId="89" xfId="2" applyFont="1" applyBorder="1" applyAlignment="1">
      <alignment horizontal="center" vertical="center" wrapText="1"/>
    </xf>
    <xf numFmtId="0" fontId="27" fillId="0" borderId="90" xfId="2" applyFont="1" applyBorder="1"/>
    <xf numFmtId="0" fontId="34" fillId="0" borderId="85" xfId="2" applyFont="1" applyBorder="1" applyAlignment="1">
      <alignment horizontal="center" vertical="center" wrapText="1"/>
    </xf>
    <xf numFmtId="0" fontId="36" fillId="0" borderId="89" xfId="2" applyFont="1" applyBorder="1" applyAlignment="1">
      <alignment horizontal="center" vertical="center" wrapText="1"/>
    </xf>
    <xf numFmtId="0" fontId="36" fillId="0" borderId="85" xfId="2" applyFont="1" applyBorder="1" applyAlignment="1">
      <alignment horizontal="center" vertical="center" wrapText="1"/>
    </xf>
    <xf numFmtId="0" fontId="22" fillId="0" borderId="74" xfId="2" applyFont="1" applyBorder="1" applyAlignment="1">
      <alignment horizontal="center" vertical="center" wrapText="1"/>
    </xf>
    <xf numFmtId="0" fontId="48" fillId="0" borderId="0" xfId="2" applyFont="1" applyAlignment="1">
      <alignment horizontal="center" vertical="center" wrapText="1"/>
    </xf>
    <xf numFmtId="0" fontId="35" fillId="0" borderId="85" xfId="2" applyFont="1" applyBorder="1" applyAlignment="1">
      <alignment horizontal="center" vertical="center"/>
    </xf>
    <xf numFmtId="0" fontId="33" fillId="0" borderId="89" xfId="2" applyFont="1" applyBorder="1" applyAlignment="1">
      <alignment horizontal="center" vertical="center" wrapText="1"/>
    </xf>
    <xf numFmtId="0" fontId="27" fillId="0" borderId="91" xfId="2" applyFont="1" applyBorder="1"/>
    <xf numFmtId="0" fontId="32" fillId="0" borderId="85" xfId="2" applyFont="1" applyBorder="1" applyAlignment="1">
      <alignment horizontal="center" vertical="center" wrapText="1"/>
    </xf>
    <xf numFmtId="0" fontId="33" fillId="0" borderId="85" xfId="2" applyFont="1" applyBorder="1" applyAlignment="1">
      <alignment horizontal="center" vertical="center" wrapText="1"/>
    </xf>
    <xf numFmtId="0" fontId="30" fillId="0" borderId="85" xfId="2" applyFont="1" applyBorder="1" applyAlignment="1">
      <alignment horizontal="center" vertical="center"/>
    </xf>
    <xf numFmtId="0" fontId="42" fillId="0" borderId="85" xfId="2" applyFont="1" applyBorder="1" applyAlignment="1">
      <alignment horizontal="center" vertical="center" wrapText="1"/>
    </xf>
    <xf numFmtId="0" fontId="42" fillId="0" borderId="89" xfId="2" applyFont="1" applyBorder="1" applyAlignment="1">
      <alignment horizontal="center" vertical="center"/>
    </xf>
    <xf numFmtId="0" fontId="37" fillId="0" borderId="85" xfId="2" applyFont="1" applyBorder="1" applyAlignment="1">
      <alignment horizontal="center" vertical="center" wrapText="1"/>
    </xf>
    <xf numFmtId="0" fontId="38" fillId="0" borderId="89" xfId="2" applyFont="1" applyBorder="1" applyAlignment="1">
      <alignment horizontal="center" vertical="center" wrapText="1"/>
    </xf>
    <xf numFmtId="0" fontId="35" fillId="0" borderId="89" xfId="2" applyFont="1" applyBorder="1" applyAlignment="1">
      <alignment horizontal="center" vertical="center" wrapText="1"/>
    </xf>
    <xf numFmtId="0" fontId="39" fillId="0" borderId="85" xfId="2" applyFont="1" applyBorder="1" applyAlignment="1">
      <alignment horizontal="center" vertical="center" wrapText="1"/>
    </xf>
    <xf numFmtId="0" fontId="32" fillId="0" borderId="89" xfId="2" applyFont="1" applyBorder="1" applyAlignment="1">
      <alignment horizontal="center" vertical="center" wrapText="1"/>
    </xf>
    <xf numFmtId="0" fontId="34" fillId="0" borderId="85" xfId="2" applyFont="1" applyBorder="1" applyAlignment="1">
      <alignment horizontal="center" vertical="center"/>
    </xf>
    <xf numFmtId="0" fontId="29" fillId="0" borderId="85" xfId="2" applyFont="1" applyBorder="1" applyAlignment="1">
      <alignment horizontal="center" vertical="center" wrapText="1"/>
    </xf>
    <xf numFmtId="0" fontId="22" fillId="0" borderId="74" xfId="1" applyFont="1" applyBorder="1" applyAlignment="1">
      <alignment horizontal="center" vertical="center" wrapText="1"/>
    </xf>
    <xf numFmtId="0" fontId="20" fillId="0" borderId="75" xfId="1" applyFont="1" applyBorder="1"/>
    <xf numFmtId="0" fontId="20" fillId="0" borderId="76" xfId="1" applyFont="1" applyBorder="1"/>
  </cellXfs>
  <cellStyles count="3">
    <cellStyle name="Обычный" xfId="0" builtinId="0"/>
    <cellStyle name="Обычный 2" xfId="1" xr:uid="{7BC7BD70-E5E6-4628-9E72-0632A6FC474D}"/>
    <cellStyle name="Обычный 3" xfId="2" xr:uid="{097D42CB-EFD3-4E97-B37D-8BAE7FC79D0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svg"/><Relationship Id="rId18" Type="http://schemas.openxmlformats.org/officeDocument/2006/relationships/image" Target="../media/image18.png"/><Relationship Id="rId3" Type="http://schemas.openxmlformats.org/officeDocument/2006/relationships/image" Target="../media/image3.svg"/><Relationship Id="rId7" Type="http://schemas.openxmlformats.org/officeDocument/2006/relationships/image" Target="../media/image7.svg"/><Relationship Id="rId12" Type="http://schemas.openxmlformats.org/officeDocument/2006/relationships/image" Target="../media/image12.png"/><Relationship Id="rId17" Type="http://schemas.openxmlformats.org/officeDocument/2006/relationships/image" Target="../media/image17.sv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svg"/><Relationship Id="rId5" Type="http://schemas.openxmlformats.org/officeDocument/2006/relationships/image" Target="../media/image5.svg"/><Relationship Id="rId15" Type="http://schemas.openxmlformats.org/officeDocument/2006/relationships/image" Target="../media/image15.svg"/><Relationship Id="rId10" Type="http://schemas.openxmlformats.org/officeDocument/2006/relationships/image" Target="../media/image10.png"/><Relationship Id="rId19" Type="http://schemas.openxmlformats.org/officeDocument/2006/relationships/image" Target="../media/image19.svg"/><Relationship Id="rId4" Type="http://schemas.openxmlformats.org/officeDocument/2006/relationships/image" Target="../media/image4.png"/><Relationship Id="rId9" Type="http://schemas.openxmlformats.org/officeDocument/2006/relationships/image" Target="../media/image9.svg"/><Relationship Id="rId14" Type="http://schemas.openxmlformats.org/officeDocument/2006/relationships/image" Target="../media/image14.png"/></Relationships>
</file>

<file path=xl/drawings/drawing1.xml><?xml version="1.0" encoding="utf-8"?>
<xdr:wsDr xmlns:xdr="http://schemas.openxmlformats.org/drawingml/2006/spreadsheetDrawing" xmlns:a="http://schemas.openxmlformats.org/drawingml/2006/main">
  <xdr:twoCellAnchor editAs="oneCell">
    <xdr:from>
      <xdr:col>12</xdr:col>
      <xdr:colOff>19050</xdr:colOff>
      <xdr:row>0</xdr:row>
      <xdr:rowOff>0</xdr:rowOff>
    </xdr:from>
    <xdr:to>
      <xdr:col>18</xdr:col>
      <xdr:colOff>19050</xdr:colOff>
      <xdr:row>7</xdr:row>
      <xdr:rowOff>190500</xdr:rowOff>
    </xdr:to>
    <xdr:pic>
      <xdr:nvPicPr>
        <xdr:cNvPr id="7" name="Picture 6">
          <a:extLst>
            <a:ext uri="{FF2B5EF4-FFF2-40B4-BE49-F238E27FC236}">
              <a16:creationId xmlns:a16="http://schemas.microsoft.com/office/drawing/2014/main" id="{372E1883-35AC-48F5-9FA4-8A5E00C1034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19400" y="0"/>
          <a:ext cx="1609725" cy="1609725"/>
        </a:xfrm>
        <a:prstGeom prst="rect">
          <a:avLst/>
        </a:prstGeom>
      </xdr:spPr>
    </xdr:pic>
    <xdr:clientData/>
  </xdr:twoCellAnchor>
  <xdr:twoCellAnchor editAs="oneCell">
    <xdr:from>
      <xdr:col>44</xdr:col>
      <xdr:colOff>196615</xdr:colOff>
      <xdr:row>39</xdr:row>
      <xdr:rowOff>18984</xdr:rowOff>
    </xdr:from>
    <xdr:to>
      <xdr:col>44</xdr:col>
      <xdr:colOff>349015</xdr:colOff>
      <xdr:row>39</xdr:row>
      <xdr:rowOff>171384</xdr:rowOff>
    </xdr:to>
    <xdr:pic>
      <xdr:nvPicPr>
        <xdr:cNvPr id="5" name="Graphic 4">
          <a:extLst>
            <a:ext uri="{FF2B5EF4-FFF2-40B4-BE49-F238E27FC236}">
              <a16:creationId xmlns:a16="http://schemas.microsoft.com/office/drawing/2014/main" id="{54B13D6D-9583-46FC-AB9E-8F98BBD479B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3375751" y="7842473"/>
          <a:ext cx="152400" cy="152400"/>
        </a:xfrm>
        <a:prstGeom prst="rect">
          <a:avLst/>
        </a:prstGeom>
      </xdr:spPr>
    </xdr:pic>
    <xdr:clientData/>
  </xdr:twoCellAnchor>
  <xdr:twoCellAnchor editAs="oneCell">
    <xdr:from>
      <xdr:col>44</xdr:col>
      <xdr:colOff>196615</xdr:colOff>
      <xdr:row>41</xdr:row>
      <xdr:rowOff>35301</xdr:rowOff>
    </xdr:from>
    <xdr:to>
      <xdr:col>44</xdr:col>
      <xdr:colOff>349015</xdr:colOff>
      <xdr:row>41</xdr:row>
      <xdr:rowOff>187701</xdr:rowOff>
    </xdr:to>
    <xdr:pic>
      <xdr:nvPicPr>
        <xdr:cNvPr id="6" name="Graphic 5">
          <a:extLst>
            <a:ext uri="{FF2B5EF4-FFF2-40B4-BE49-F238E27FC236}">
              <a16:creationId xmlns:a16="http://schemas.microsoft.com/office/drawing/2014/main" id="{A8E0179E-C843-4BF3-A232-E81D952222A6}"/>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13375751" y="8239790"/>
          <a:ext cx="152400" cy="152400"/>
        </a:xfrm>
        <a:prstGeom prst="rect">
          <a:avLst/>
        </a:prstGeom>
      </xdr:spPr>
    </xdr:pic>
    <xdr:clientData/>
  </xdr:twoCellAnchor>
  <xdr:twoCellAnchor editAs="oneCell">
    <xdr:from>
      <xdr:col>44</xdr:col>
      <xdr:colOff>196615</xdr:colOff>
      <xdr:row>46</xdr:row>
      <xdr:rowOff>38764</xdr:rowOff>
    </xdr:from>
    <xdr:to>
      <xdr:col>44</xdr:col>
      <xdr:colOff>349015</xdr:colOff>
      <xdr:row>46</xdr:row>
      <xdr:rowOff>191164</xdr:rowOff>
    </xdr:to>
    <xdr:pic>
      <xdr:nvPicPr>
        <xdr:cNvPr id="9" name="Graphic 8">
          <a:extLst>
            <a:ext uri="{FF2B5EF4-FFF2-40B4-BE49-F238E27FC236}">
              <a16:creationId xmlns:a16="http://schemas.microsoft.com/office/drawing/2014/main" id="{FA3EF683-8CE8-46C8-8E4E-ED08932BBC6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13375751" y="9221730"/>
          <a:ext cx="152400" cy="152400"/>
        </a:xfrm>
        <a:prstGeom prst="rect">
          <a:avLst/>
        </a:prstGeom>
      </xdr:spPr>
    </xdr:pic>
    <xdr:clientData/>
  </xdr:twoCellAnchor>
  <xdr:twoCellAnchor editAs="oneCell">
    <xdr:from>
      <xdr:col>44</xdr:col>
      <xdr:colOff>196615</xdr:colOff>
      <xdr:row>47</xdr:row>
      <xdr:rowOff>27571</xdr:rowOff>
    </xdr:from>
    <xdr:to>
      <xdr:col>44</xdr:col>
      <xdr:colOff>349015</xdr:colOff>
      <xdr:row>47</xdr:row>
      <xdr:rowOff>179971</xdr:rowOff>
    </xdr:to>
    <xdr:pic>
      <xdr:nvPicPr>
        <xdr:cNvPr id="11" name="Graphic 10">
          <a:extLst>
            <a:ext uri="{FF2B5EF4-FFF2-40B4-BE49-F238E27FC236}">
              <a16:creationId xmlns:a16="http://schemas.microsoft.com/office/drawing/2014/main" id="{F302BD6D-AC02-41C1-B168-9B2F725CC15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3375751" y="9418355"/>
          <a:ext cx="152400" cy="152400"/>
        </a:xfrm>
        <a:prstGeom prst="rect">
          <a:avLst/>
        </a:prstGeom>
      </xdr:spPr>
    </xdr:pic>
    <xdr:clientData/>
  </xdr:twoCellAnchor>
  <xdr:twoCellAnchor editAs="oneCell">
    <xdr:from>
      <xdr:col>44</xdr:col>
      <xdr:colOff>196615</xdr:colOff>
      <xdr:row>43</xdr:row>
      <xdr:rowOff>23706</xdr:rowOff>
    </xdr:from>
    <xdr:to>
      <xdr:col>44</xdr:col>
      <xdr:colOff>349015</xdr:colOff>
      <xdr:row>43</xdr:row>
      <xdr:rowOff>176106</xdr:rowOff>
    </xdr:to>
    <xdr:pic>
      <xdr:nvPicPr>
        <xdr:cNvPr id="13" name="Graphic 12">
          <a:extLst>
            <a:ext uri="{FF2B5EF4-FFF2-40B4-BE49-F238E27FC236}">
              <a16:creationId xmlns:a16="http://schemas.microsoft.com/office/drawing/2014/main" id="{01252BF2-70DB-4C74-9A5A-3FC24A650572}"/>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13375751" y="8626513"/>
          <a:ext cx="152400" cy="152400"/>
        </a:xfrm>
        <a:prstGeom prst="rect">
          <a:avLst/>
        </a:prstGeom>
      </xdr:spPr>
    </xdr:pic>
    <xdr:clientData/>
  </xdr:twoCellAnchor>
  <xdr:twoCellAnchor editAs="oneCell">
    <xdr:from>
      <xdr:col>44</xdr:col>
      <xdr:colOff>196615</xdr:colOff>
      <xdr:row>42</xdr:row>
      <xdr:rowOff>19841</xdr:rowOff>
    </xdr:from>
    <xdr:to>
      <xdr:col>44</xdr:col>
      <xdr:colOff>349015</xdr:colOff>
      <xdr:row>42</xdr:row>
      <xdr:rowOff>172241</xdr:rowOff>
    </xdr:to>
    <xdr:pic>
      <xdr:nvPicPr>
        <xdr:cNvPr id="15" name="Graphic 14">
          <a:extLst>
            <a:ext uri="{FF2B5EF4-FFF2-40B4-BE49-F238E27FC236}">
              <a16:creationId xmlns:a16="http://schemas.microsoft.com/office/drawing/2014/main" id="{AAA3B13B-FB22-4292-B21C-39AA4552869A}"/>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13375751" y="8432148"/>
          <a:ext cx="152400" cy="152400"/>
        </a:xfrm>
        <a:prstGeom prst="rect">
          <a:avLst/>
        </a:prstGeom>
      </xdr:spPr>
    </xdr:pic>
    <xdr:clientData/>
  </xdr:twoCellAnchor>
  <xdr:twoCellAnchor editAs="oneCell">
    <xdr:from>
      <xdr:col>44</xdr:col>
      <xdr:colOff>196615</xdr:colOff>
      <xdr:row>40</xdr:row>
      <xdr:rowOff>21638</xdr:rowOff>
    </xdr:from>
    <xdr:to>
      <xdr:col>44</xdr:col>
      <xdr:colOff>349015</xdr:colOff>
      <xdr:row>40</xdr:row>
      <xdr:rowOff>174038</xdr:rowOff>
    </xdr:to>
    <xdr:pic>
      <xdr:nvPicPr>
        <xdr:cNvPr id="17" name="Graphic 16">
          <a:extLst>
            <a:ext uri="{FF2B5EF4-FFF2-40B4-BE49-F238E27FC236}">
              <a16:creationId xmlns:a16="http://schemas.microsoft.com/office/drawing/2014/main" id="{63E2F3D6-138B-477F-99D2-538FC022BE28}"/>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13375751" y="8035627"/>
          <a:ext cx="152400" cy="152400"/>
        </a:xfrm>
        <a:prstGeom prst="rect">
          <a:avLst/>
        </a:prstGeom>
      </xdr:spPr>
    </xdr:pic>
    <xdr:clientData/>
  </xdr:twoCellAnchor>
  <xdr:twoCellAnchor editAs="oneCell">
    <xdr:from>
      <xdr:col>44</xdr:col>
      <xdr:colOff>196615</xdr:colOff>
      <xdr:row>45</xdr:row>
      <xdr:rowOff>35424</xdr:rowOff>
    </xdr:from>
    <xdr:to>
      <xdr:col>44</xdr:col>
      <xdr:colOff>349015</xdr:colOff>
      <xdr:row>45</xdr:row>
      <xdr:rowOff>187824</xdr:rowOff>
    </xdr:to>
    <xdr:pic>
      <xdr:nvPicPr>
        <xdr:cNvPr id="19" name="Graphic 18">
          <a:extLst>
            <a:ext uri="{FF2B5EF4-FFF2-40B4-BE49-F238E27FC236}">
              <a16:creationId xmlns:a16="http://schemas.microsoft.com/office/drawing/2014/main" id="{45D2CF70-6FFD-4983-9494-BB743AA4B56B}"/>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13370423" y="9054866"/>
          <a:ext cx="152400" cy="152400"/>
        </a:xfrm>
        <a:prstGeom prst="rect">
          <a:avLst/>
        </a:prstGeom>
      </xdr:spPr>
    </xdr:pic>
    <xdr:clientData/>
  </xdr:twoCellAnchor>
  <xdr:twoCellAnchor editAs="oneCell">
    <xdr:from>
      <xdr:col>44</xdr:col>
      <xdr:colOff>196615</xdr:colOff>
      <xdr:row>44</xdr:row>
      <xdr:rowOff>24231</xdr:rowOff>
    </xdr:from>
    <xdr:to>
      <xdr:col>44</xdr:col>
      <xdr:colOff>349015</xdr:colOff>
      <xdr:row>44</xdr:row>
      <xdr:rowOff>176631</xdr:rowOff>
    </xdr:to>
    <xdr:pic>
      <xdr:nvPicPr>
        <xdr:cNvPr id="21" name="Graphic 20">
          <a:extLst>
            <a:ext uri="{FF2B5EF4-FFF2-40B4-BE49-F238E27FC236}">
              <a16:creationId xmlns:a16="http://schemas.microsoft.com/office/drawing/2014/main" id="{C9CF8939-3574-48F7-9726-9BC8D1303D25}"/>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13370423" y="8853173"/>
          <a:ext cx="152400" cy="152400"/>
        </a:xfrm>
        <a:prstGeom prst="rect">
          <a:avLst/>
        </a:prstGeom>
      </xdr:spPr>
    </xdr:pic>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CC985-6505-4D04-8E19-C529D3127996}">
  <sheetPr codeName="Лист1"/>
  <dimension ref="B1:BY49"/>
  <sheetViews>
    <sheetView showGridLines="0" tabSelected="1" showWhiteSpace="0" view="pageLayout" zoomScaleNormal="100" workbookViewId="0">
      <selection activeCell="C23" sqref="C23:D23"/>
    </sheetView>
  </sheetViews>
  <sheetFormatPr defaultColWidth="9.140625" defaultRowHeight="15"/>
  <cols>
    <col min="1" max="1" width="2.85546875" style="1" customWidth="1"/>
    <col min="2" max="2" width="6.85546875" style="1" customWidth="1"/>
    <col min="3" max="3" width="3.5703125" style="1" customWidth="1"/>
    <col min="4" max="4" width="1.140625" style="1" customWidth="1"/>
    <col min="5" max="5" width="2.5703125" style="1" customWidth="1"/>
    <col min="6" max="7" width="1.85546875" style="1" customWidth="1"/>
    <col min="8" max="8" width="2" style="1" customWidth="1"/>
    <col min="9" max="9" width="4.85546875" style="1" customWidth="1"/>
    <col min="10" max="10" width="5.7109375" style="1" customWidth="1"/>
    <col min="11" max="11" width="2" style="1" customWidth="1"/>
    <col min="12" max="13" width="3.7109375" style="1" customWidth="1"/>
    <col min="14" max="14" width="2" style="1" customWidth="1"/>
    <col min="15" max="15" width="6.140625" style="1" customWidth="1"/>
    <col min="16" max="16" width="4.140625" style="1" customWidth="1"/>
    <col min="17" max="17" width="2.85546875" style="1" customWidth="1"/>
    <col min="18" max="19" width="3.7109375" style="1" customWidth="1"/>
    <col min="20" max="20" width="2" style="1" customWidth="1"/>
    <col min="21" max="21" width="7.42578125" style="1" customWidth="1"/>
    <col min="22" max="22" width="3.140625" style="1" customWidth="1"/>
    <col min="23" max="23" width="2.42578125" style="1" customWidth="1"/>
    <col min="24" max="24" width="2.85546875" style="1" customWidth="1"/>
    <col min="25" max="25" width="4.28515625" style="1" customWidth="1"/>
    <col min="26" max="27" width="3.85546875" style="1" customWidth="1"/>
    <col min="28" max="28" width="4.42578125" style="1" customWidth="1"/>
    <col min="29" max="29" width="1.7109375" style="1" customWidth="1"/>
    <col min="30" max="30" width="2.7109375" style="1" customWidth="1"/>
    <col min="31" max="32" width="4.5703125" style="1" customWidth="1"/>
    <col min="33" max="33" width="9.28515625" style="1" customWidth="1"/>
    <col min="34" max="34" width="3.7109375" style="1" customWidth="1"/>
    <col min="35" max="35" width="6.85546875" style="1" customWidth="1"/>
    <col min="36" max="36" width="4.140625" style="1" customWidth="1"/>
    <col min="37" max="37" width="4.85546875" style="1" customWidth="1"/>
    <col min="38" max="38" width="7.140625" style="1" customWidth="1"/>
    <col min="39" max="39" width="5.140625" style="1" customWidth="1"/>
    <col min="40" max="40" width="4.85546875" style="1" customWidth="1"/>
    <col min="41" max="41" width="4.28515625" style="1" customWidth="1"/>
    <col min="42" max="42" width="4.5703125" style="1" customWidth="1"/>
    <col min="43" max="43" width="8.5703125" style="1" customWidth="1"/>
    <col min="44" max="44" width="7.5703125" style="1" customWidth="1"/>
    <col min="45" max="45" width="5.28515625" style="1" customWidth="1"/>
    <col min="46" max="46" width="4.28515625" style="1" customWidth="1"/>
    <col min="47" max="47" width="6.7109375" style="1" customWidth="1"/>
    <col min="48" max="48" width="2" style="1" customWidth="1"/>
    <col min="49" max="49" width="1.7109375" style="1" customWidth="1"/>
    <col min="50" max="50" width="11.28515625" style="1" customWidth="1"/>
    <col min="51" max="51" width="5.42578125" style="1" customWidth="1"/>
    <col min="52" max="52" width="5.140625" style="1" customWidth="1"/>
    <col min="53" max="53" width="23.85546875" style="1" customWidth="1"/>
    <col min="54" max="54" width="6.5703125" style="1" customWidth="1"/>
    <col min="55" max="55" width="1" style="1" customWidth="1"/>
    <col min="56" max="56" width="5.85546875" style="1" customWidth="1"/>
    <col min="57" max="57" width="3.7109375" style="1" customWidth="1"/>
    <col min="58" max="58" width="1.5703125" style="1" customWidth="1"/>
    <col min="59" max="59" width="11.140625" style="1" customWidth="1"/>
    <col min="60" max="60" width="5.42578125" style="1" customWidth="1"/>
    <col min="61" max="61" width="16.42578125" style="1" customWidth="1"/>
    <col min="62" max="62" width="1.7109375" style="1" customWidth="1"/>
    <col min="63" max="63" width="2.140625" style="1" customWidth="1"/>
    <col min="64" max="64" width="12.140625" style="1" customWidth="1"/>
    <col min="65" max="65" width="21.85546875" style="1" customWidth="1"/>
    <col min="66" max="66" width="1.85546875" style="1" customWidth="1"/>
    <col min="67" max="67" width="11.28515625" style="1" customWidth="1"/>
    <col min="68" max="68" width="49.85546875" style="1" customWidth="1"/>
    <col min="69" max="69" width="2.5703125" style="1" customWidth="1"/>
    <col min="70" max="70" width="2.140625" style="1" customWidth="1"/>
    <col min="71" max="71" width="12.140625" style="1" customWidth="1"/>
    <col min="72" max="72" width="21.85546875" style="1" customWidth="1"/>
    <col min="73" max="73" width="1.85546875" style="1" customWidth="1"/>
    <col min="74" max="74" width="11.28515625" style="1" customWidth="1"/>
    <col min="75" max="75" width="13.42578125" style="1" customWidth="1"/>
    <col min="76" max="76" width="11.28515625" style="1" customWidth="1"/>
    <col min="77" max="77" width="26.140625" style="1" customWidth="1"/>
    <col min="78" max="78" width="1.5703125" style="1" customWidth="1"/>
    <col min="79" max="16384" width="9.140625" style="1"/>
  </cols>
  <sheetData>
    <row r="1" spans="2:77" ht="15.75" thickBot="1">
      <c r="B1" s="225"/>
      <c r="C1" s="225"/>
      <c r="D1" s="225"/>
      <c r="E1" s="225"/>
      <c r="F1" s="225"/>
      <c r="G1" s="225"/>
      <c r="H1" s="225"/>
      <c r="I1" s="225"/>
      <c r="J1" s="225"/>
      <c r="L1" s="346"/>
      <c r="M1" s="347"/>
      <c r="N1" s="347"/>
      <c r="O1" s="347"/>
      <c r="P1" s="347"/>
      <c r="Q1" s="347"/>
      <c r="R1" s="347"/>
      <c r="S1" s="348"/>
    </row>
    <row r="2" spans="2:77" ht="15.75" customHeight="1" thickTop="1">
      <c r="B2" s="226" t="s">
        <v>15</v>
      </c>
      <c r="C2" s="227"/>
      <c r="D2" s="385" t="s">
        <v>899</v>
      </c>
      <c r="E2" s="386"/>
      <c r="F2" s="386"/>
      <c r="G2" s="386"/>
      <c r="H2" s="386"/>
      <c r="I2" s="386"/>
      <c r="J2" s="387"/>
      <c r="L2" s="349"/>
      <c r="M2" s="350"/>
      <c r="N2" s="350"/>
      <c r="O2" s="350"/>
      <c r="P2" s="350"/>
      <c r="Q2" s="350"/>
      <c r="R2" s="350"/>
      <c r="S2" s="351"/>
      <c r="U2" s="307" t="s">
        <v>128</v>
      </c>
      <c r="V2" s="308"/>
      <c r="W2" s="308"/>
      <c r="X2" s="308"/>
      <c r="Y2" s="309"/>
      <c r="Z2" s="233">
        <f>X3/5</f>
        <v>6</v>
      </c>
      <c r="AA2" s="234"/>
      <c r="AB2" s="235"/>
      <c r="AE2" s="226" t="s">
        <v>129</v>
      </c>
      <c r="AF2" s="227"/>
      <c r="AG2" s="385"/>
      <c r="AH2" s="386"/>
      <c r="AI2" s="387"/>
      <c r="AK2" s="226" t="s">
        <v>131</v>
      </c>
      <c r="AL2" s="297"/>
      <c r="AM2" s="297"/>
      <c r="AN2" s="219" t="s">
        <v>895</v>
      </c>
      <c r="AP2" s="226" t="s">
        <v>132</v>
      </c>
      <c r="AQ2" s="297"/>
      <c r="AR2" s="227"/>
      <c r="AS2" s="385">
        <f>AU10+AU11+AU12+AU13+AU14+AU15</f>
        <v>0</v>
      </c>
      <c r="AT2" s="386"/>
      <c r="AU2" s="387"/>
      <c r="AX2" s="226" t="s">
        <v>148</v>
      </c>
      <c r="AY2" s="297"/>
      <c r="AZ2" s="297"/>
      <c r="BA2" s="297"/>
      <c r="BB2" s="297"/>
      <c r="BC2" s="297"/>
      <c r="BD2" s="297"/>
      <c r="BE2" s="329"/>
      <c r="BG2" s="226" t="s">
        <v>152</v>
      </c>
      <c r="BH2" s="227"/>
      <c r="BI2" s="7">
        <v>0</v>
      </c>
      <c r="BL2" s="455" t="s">
        <v>160</v>
      </c>
      <c r="BM2" s="452" t="s">
        <v>825</v>
      </c>
      <c r="BO2" s="226" t="s">
        <v>168</v>
      </c>
      <c r="BP2" s="329"/>
      <c r="BS2" s="455" t="s">
        <v>160</v>
      </c>
      <c r="BT2" s="452" t="s">
        <v>825</v>
      </c>
      <c r="BV2" s="226" t="s">
        <v>1</v>
      </c>
      <c r="BW2" s="297"/>
      <c r="BX2" s="297"/>
      <c r="BY2" s="329"/>
    </row>
    <row r="3" spans="2:77" ht="16.5">
      <c r="B3" s="249" t="s">
        <v>16</v>
      </c>
      <c r="C3" s="251"/>
      <c r="D3" s="252" t="s">
        <v>908</v>
      </c>
      <c r="E3" s="253"/>
      <c r="F3" s="253"/>
      <c r="G3" s="253"/>
      <c r="H3" s="253"/>
      <c r="I3" s="253"/>
      <c r="J3" s="254"/>
      <c r="L3" s="349"/>
      <c r="M3" s="350"/>
      <c r="N3" s="350"/>
      <c r="O3" s="350"/>
      <c r="P3" s="350"/>
      <c r="Q3" s="350"/>
      <c r="R3" s="350"/>
      <c r="S3" s="351"/>
      <c r="U3" s="323" t="s">
        <v>35</v>
      </c>
      <c r="V3" s="324"/>
      <c r="W3" s="325"/>
      <c r="X3" s="311">
        <f>INDEX('Таблица физ параметров'!B3:B14,MATCH('Таблица физ параметров'!C1,'Таблица физ параметров'!A3:A14,0))</f>
        <v>30</v>
      </c>
      <c r="Y3" s="321"/>
      <c r="Z3" s="311"/>
      <c r="AA3" s="312"/>
      <c r="AB3" s="313"/>
      <c r="AE3" s="262" t="s">
        <v>130</v>
      </c>
      <c r="AF3" s="263"/>
      <c r="AG3" s="352"/>
      <c r="AH3" s="305"/>
      <c r="AI3" s="306"/>
      <c r="AK3" s="269"/>
      <c r="AL3" s="253"/>
      <c r="AM3" s="279"/>
      <c r="AN3" s="35"/>
      <c r="AP3" s="249" t="s">
        <v>133</v>
      </c>
      <c r="AQ3" s="250"/>
      <c r="AR3" s="251"/>
      <c r="AS3" s="252"/>
      <c r="AT3" s="253"/>
      <c r="AU3" s="254"/>
      <c r="AX3" s="249" t="s">
        <v>127</v>
      </c>
      <c r="AY3" s="251"/>
      <c r="AZ3" s="59" t="s">
        <v>149</v>
      </c>
      <c r="BA3" s="3" t="s">
        <v>63</v>
      </c>
      <c r="BB3" s="60" t="s">
        <v>150</v>
      </c>
      <c r="BC3" s="428" t="s">
        <v>151</v>
      </c>
      <c r="BD3" s="429"/>
      <c r="BE3" s="430"/>
      <c r="BG3" s="262" t="s">
        <v>154</v>
      </c>
      <c r="BH3" s="263"/>
      <c r="BI3" s="34"/>
      <c r="BL3" s="456"/>
      <c r="BM3" s="449"/>
      <c r="BO3" s="437" t="s">
        <v>19</v>
      </c>
      <c r="BP3" s="432" t="str">
        <f>D6</f>
        <v>-</v>
      </c>
      <c r="BS3" s="456"/>
      <c r="BT3" s="449"/>
      <c r="BV3" s="506" t="s">
        <v>176</v>
      </c>
      <c r="BW3" s="220"/>
      <c r="BX3" s="425" t="s">
        <v>177</v>
      </c>
      <c r="BY3" s="432"/>
    </row>
    <row r="4" spans="2:77" ht="15.75" customHeight="1">
      <c r="B4" s="249" t="s">
        <v>17</v>
      </c>
      <c r="C4" s="251"/>
      <c r="D4" s="252" t="s">
        <v>898</v>
      </c>
      <c r="E4" s="253"/>
      <c r="F4" s="253"/>
      <c r="G4" s="253"/>
      <c r="H4" s="253"/>
      <c r="I4" s="253"/>
      <c r="J4" s="254"/>
      <c r="L4" s="349"/>
      <c r="M4" s="350"/>
      <c r="N4" s="350"/>
      <c r="O4" s="350"/>
      <c r="P4" s="350"/>
      <c r="Q4" s="350"/>
      <c r="R4" s="350"/>
      <c r="S4" s="351"/>
      <c r="U4" s="326"/>
      <c r="V4" s="327"/>
      <c r="W4" s="328"/>
      <c r="X4" s="314"/>
      <c r="Y4" s="322"/>
      <c r="Z4" s="314"/>
      <c r="AA4" s="315"/>
      <c r="AB4" s="316"/>
      <c r="AE4" s="269"/>
      <c r="AF4" s="253"/>
      <c r="AG4" s="253"/>
      <c r="AH4" s="253"/>
      <c r="AI4" s="254"/>
      <c r="AK4" s="269"/>
      <c r="AL4" s="253"/>
      <c r="AM4" s="279"/>
      <c r="AN4" s="34"/>
      <c r="AP4" s="255" t="s">
        <v>134</v>
      </c>
      <c r="AQ4" s="481"/>
      <c r="AR4" s="256"/>
      <c r="AS4" s="346">
        <f>SUM(AU19:AU38)</f>
        <v>0</v>
      </c>
      <c r="AT4" s="347"/>
      <c r="AU4" s="427"/>
      <c r="AX4" s="424" t="s">
        <v>903</v>
      </c>
      <c r="AY4" s="348"/>
      <c r="AZ4" s="425"/>
      <c r="BA4" s="425"/>
      <c r="BB4" s="425"/>
      <c r="BC4" s="346"/>
      <c r="BD4" s="347"/>
      <c r="BE4" s="427"/>
      <c r="BG4" s="504" t="s">
        <v>153</v>
      </c>
      <c r="BH4" s="505"/>
      <c r="BI4" s="18"/>
      <c r="BL4" s="457" t="s">
        <v>161</v>
      </c>
      <c r="BM4" s="448" t="s">
        <v>836</v>
      </c>
      <c r="BO4" s="436"/>
      <c r="BP4" s="434"/>
      <c r="BS4" s="457" t="s">
        <v>161</v>
      </c>
      <c r="BT4" s="448" t="s">
        <v>836</v>
      </c>
      <c r="BV4" s="507"/>
      <c r="BW4" s="21"/>
      <c r="BX4" s="426"/>
      <c r="BY4" s="434"/>
    </row>
    <row r="5" spans="2:77" ht="15.75" thickBot="1">
      <c r="B5" s="249" t="s">
        <v>18</v>
      </c>
      <c r="C5" s="251"/>
      <c r="D5" s="252" t="s">
        <v>898</v>
      </c>
      <c r="E5" s="253"/>
      <c r="F5" s="253"/>
      <c r="G5" s="253"/>
      <c r="H5" s="253"/>
      <c r="I5" s="253"/>
      <c r="J5" s="254"/>
      <c r="L5" s="349"/>
      <c r="M5" s="350"/>
      <c r="N5" s="350"/>
      <c r="O5" s="350"/>
      <c r="P5" s="350"/>
      <c r="Q5" s="350"/>
      <c r="R5" s="350"/>
      <c r="S5" s="351"/>
      <c r="U5" s="330" t="s">
        <v>36</v>
      </c>
      <c r="V5" s="331"/>
      <c r="W5" s="332"/>
      <c r="X5" s="311">
        <f>INDEX('Таблица физ параметров'!C3:C14,MATCH('Таблица физ параметров'!C1,'Таблица физ параметров'!A3:A14,0))</f>
        <v>30</v>
      </c>
      <c r="Y5" s="321"/>
      <c r="Z5" s="311"/>
      <c r="AA5" s="312"/>
      <c r="AB5" s="313"/>
      <c r="AE5" s="269"/>
      <c r="AF5" s="253"/>
      <c r="AG5" s="253"/>
      <c r="AH5" s="253"/>
      <c r="AI5" s="254"/>
      <c r="AK5" s="269"/>
      <c r="AL5" s="253"/>
      <c r="AM5" s="279"/>
      <c r="AN5" s="34"/>
      <c r="AP5" s="466" t="s">
        <v>135</v>
      </c>
      <c r="AQ5" s="467"/>
      <c r="AR5" s="468"/>
      <c r="AS5" s="482">
        <f>SUM(AM19:AN31)</f>
        <v>0</v>
      </c>
      <c r="AT5" s="483"/>
      <c r="AU5" s="484"/>
      <c r="AX5" s="304"/>
      <c r="AY5" s="353"/>
      <c r="AZ5" s="426"/>
      <c r="BA5" s="426"/>
      <c r="BB5" s="426"/>
      <c r="BC5" s="352"/>
      <c r="BD5" s="305"/>
      <c r="BE5" s="306"/>
      <c r="BG5" s="269"/>
      <c r="BH5" s="253"/>
      <c r="BI5" s="254"/>
      <c r="BL5" s="456"/>
      <c r="BM5" s="449"/>
      <c r="BO5" s="437" t="s">
        <v>169</v>
      </c>
      <c r="BP5" s="501"/>
      <c r="BS5" s="456"/>
      <c r="BT5" s="449"/>
      <c r="BV5" s="506" t="s">
        <v>178</v>
      </c>
      <c r="BW5" s="518"/>
      <c r="BX5" s="519"/>
      <c r="BY5" s="459"/>
    </row>
    <row r="6" spans="2:77" ht="15.75" customHeight="1" thickBot="1">
      <c r="B6" s="249" t="s">
        <v>19</v>
      </c>
      <c r="C6" s="251"/>
      <c r="D6" s="388" t="s">
        <v>898</v>
      </c>
      <c r="E6" s="389"/>
      <c r="F6" s="389"/>
      <c r="G6" s="389"/>
      <c r="H6" s="389"/>
      <c r="I6" s="389"/>
      <c r="J6" s="390"/>
      <c r="L6" s="349"/>
      <c r="M6" s="350"/>
      <c r="N6" s="350"/>
      <c r="O6" s="350"/>
      <c r="P6" s="350"/>
      <c r="Q6" s="350"/>
      <c r="R6" s="350"/>
      <c r="S6" s="351"/>
      <c r="U6" s="333"/>
      <c r="V6" s="334"/>
      <c r="W6" s="335"/>
      <c r="X6" s="314"/>
      <c r="Y6" s="322"/>
      <c r="Z6" s="314"/>
      <c r="AA6" s="315"/>
      <c r="AB6" s="316"/>
      <c r="AE6" s="294"/>
      <c r="AF6" s="295"/>
      <c r="AG6" s="295"/>
      <c r="AH6" s="295"/>
      <c r="AI6" s="296"/>
      <c r="AK6" s="294"/>
      <c r="AL6" s="295"/>
      <c r="AM6" s="415"/>
      <c r="AN6" s="216"/>
      <c r="AP6" s="469" t="s">
        <v>136</v>
      </c>
      <c r="AQ6" s="470"/>
      <c r="AR6" s="471"/>
      <c r="AS6" s="464">
        <f>J18+AN3+AN4+AN5+AN6</f>
        <v>60</v>
      </c>
      <c r="AT6" s="465"/>
      <c r="AU6" s="43">
        <f>AS5+AS4+AS3+AS2</f>
        <v>0</v>
      </c>
      <c r="AX6" s="424" t="s">
        <v>904</v>
      </c>
      <c r="AY6" s="348"/>
      <c r="AZ6" s="425"/>
      <c r="BA6" s="425" t="s">
        <v>905</v>
      </c>
      <c r="BB6" s="425"/>
      <c r="BC6" s="346"/>
      <c r="BD6" s="347"/>
      <c r="BE6" s="427"/>
      <c r="BG6" s="269"/>
      <c r="BH6" s="253"/>
      <c r="BI6" s="254"/>
      <c r="BL6" s="457" t="s">
        <v>162</v>
      </c>
      <c r="BM6" s="448" t="s">
        <v>846</v>
      </c>
      <c r="BO6" s="436"/>
      <c r="BP6" s="503"/>
      <c r="BS6" s="457" t="s">
        <v>162</v>
      </c>
      <c r="BT6" s="448" t="s">
        <v>846</v>
      </c>
      <c r="BV6" s="507"/>
      <c r="BW6" s="520"/>
      <c r="BX6" s="521"/>
      <c r="BY6" s="461"/>
    </row>
    <row r="7" spans="2:77" ht="16.5" customHeight="1" thickTop="1" thickBot="1">
      <c r="B7" s="249" t="s">
        <v>20</v>
      </c>
      <c r="C7" s="251"/>
      <c r="D7" s="252"/>
      <c r="E7" s="253"/>
      <c r="F7" s="253"/>
      <c r="G7" s="253"/>
      <c r="H7" s="253"/>
      <c r="I7" s="253"/>
      <c r="J7" s="254"/>
      <c r="L7" s="349"/>
      <c r="M7" s="350"/>
      <c r="N7" s="350"/>
      <c r="O7" s="350"/>
      <c r="P7" s="350"/>
      <c r="Q7" s="350"/>
      <c r="R7" s="350"/>
      <c r="S7" s="351"/>
      <c r="U7" s="336" t="s">
        <v>518</v>
      </c>
      <c r="V7" s="337"/>
      <c r="W7" s="338"/>
      <c r="X7" s="311">
        <f>ROUNDDOWN((C22+C15)/2*5,0)</f>
        <v>20</v>
      </c>
      <c r="Y7" s="321"/>
      <c r="Z7" s="311"/>
      <c r="AA7" s="312"/>
      <c r="AB7" s="313"/>
      <c r="AX7" s="304"/>
      <c r="AY7" s="353"/>
      <c r="AZ7" s="426"/>
      <c r="BA7" s="426"/>
      <c r="BB7" s="426"/>
      <c r="BC7" s="352"/>
      <c r="BD7" s="305"/>
      <c r="BE7" s="306"/>
      <c r="BG7" s="249" t="s">
        <v>53</v>
      </c>
      <c r="BH7" s="250"/>
      <c r="BI7" s="258"/>
      <c r="BL7" s="456"/>
      <c r="BM7" s="449"/>
      <c r="BO7" s="437" t="s">
        <v>170</v>
      </c>
      <c r="BP7" s="501"/>
      <c r="BS7" s="456"/>
      <c r="BT7" s="449"/>
      <c r="BV7" s="506" t="s">
        <v>179</v>
      </c>
      <c r="BW7" s="518"/>
      <c r="BX7" s="519"/>
      <c r="BY7" s="459"/>
    </row>
    <row r="8" spans="2:77" ht="15.75" customHeight="1" thickTop="1" thickBot="1">
      <c r="B8" s="280" t="s">
        <v>21</v>
      </c>
      <c r="C8" s="281"/>
      <c r="D8" s="391" t="s">
        <v>898</v>
      </c>
      <c r="E8" s="392"/>
      <c r="F8" s="392"/>
      <c r="G8" s="392"/>
      <c r="H8" s="392"/>
      <c r="I8" s="392"/>
      <c r="J8" s="393"/>
      <c r="L8" s="352"/>
      <c r="M8" s="305"/>
      <c r="N8" s="305"/>
      <c r="O8" s="305"/>
      <c r="P8" s="305"/>
      <c r="Q8" s="305"/>
      <c r="R8" s="305"/>
      <c r="S8" s="353"/>
      <c r="U8" s="339"/>
      <c r="V8" s="340"/>
      <c r="W8" s="341"/>
      <c r="X8" s="342"/>
      <c r="Y8" s="345"/>
      <c r="Z8" s="342"/>
      <c r="AA8" s="343"/>
      <c r="AB8" s="344"/>
      <c r="AE8" s="485" t="s">
        <v>727</v>
      </c>
      <c r="AF8" s="227"/>
      <c r="AG8" s="486"/>
      <c r="AH8" s="486"/>
      <c r="AI8" s="486"/>
      <c r="AJ8" s="486"/>
      <c r="AK8" s="486"/>
      <c r="AL8" s="486"/>
      <c r="AM8" s="486"/>
      <c r="AN8" s="486"/>
      <c r="AO8" s="486"/>
      <c r="AP8" s="486"/>
      <c r="AQ8" s="486"/>
      <c r="AR8" s="486"/>
      <c r="AS8" s="486"/>
      <c r="AT8" s="486"/>
      <c r="AU8" s="487"/>
      <c r="AX8" s="424" t="s">
        <v>906</v>
      </c>
      <c r="AY8" s="348"/>
      <c r="AZ8" s="425"/>
      <c r="BA8" s="425" t="s">
        <v>907</v>
      </c>
      <c r="BB8" s="425"/>
      <c r="BC8" s="346"/>
      <c r="BD8" s="347"/>
      <c r="BE8" s="427"/>
      <c r="BG8" s="269"/>
      <c r="BH8" s="253"/>
      <c r="BI8" s="254"/>
      <c r="BL8" s="457" t="s">
        <v>163</v>
      </c>
      <c r="BM8" s="448" t="s">
        <v>855</v>
      </c>
      <c r="BO8" s="436"/>
      <c r="BP8" s="503"/>
      <c r="BS8" s="457" t="s">
        <v>163</v>
      </c>
      <c r="BT8" s="448" t="s">
        <v>855</v>
      </c>
      <c r="BV8" s="507"/>
      <c r="BW8" s="520"/>
      <c r="BX8" s="521"/>
      <c r="BY8" s="461"/>
    </row>
    <row r="9" spans="2:77" ht="15.75" customHeight="1" thickTop="1" thickBot="1">
      <c r="B9" s="42"/>
      <c r="C9" s="42"/>
      <c r="D9" s="42"/>
      <c r="E9" s="42"/>
      <c r="F9" s="40"/>
      <c r="G9" s="40"/>
      <c r="H9" s="40"/>
      <c r="I9" s="40"/>
      <c r="J9" s="40"/>
      <c r="K9" s="10"/>
      <c r="L9" s="301" t="s">
        <v>23</v>
      </c>
      <c r="M9" s="302"/>
      <c r="N9" s="302"/>
      <c r="O9" s="303"/>
      <c r="P9" s="298"/>
      <c r="Q9" s="299"/>
      <c r="R9" s="299"/>
      <c r="S9" s="300"/>
      <c r="AE9" s="49" t="s">
        <v>5</v>
      </c>
      <c r="AF9" s="264" t="s">
        <v>127</v>
      </c>
      <c r="AG9" s="250"/>
      <c r="AH9" s="250"/>
      <c r="AI9" s="250"/>
      <c r="AJ9" s="251"/>
      <c r="AK9" s="24" t="s">
        <v>137</v>
      </c>
      <c r="AL9" s="24" t="s">
        <v>28</v>
      </c>
      <c r="AM9" s="24" t="s">
        <v>138</v>
      </c>
      <c r="AN9" s="24" t="s">
        <v>139</v>
      </c>
      <c r="AO9" s="24" t="s">
        <v>140</v>
      </c>
      <c r="AP9" s="444" t="s">
        <v>63</v>
      </c>
      <c r="AQ9" s="444"/>
      <c r="AR9" s="444"/>
      <c r="AS9" s="24" t="s">
        <v>141</v>
      </c>
      <c r="AT9" s="24" t="s">
        <v>142</v>
      </c>
      <c r="AU9" s="25" t="s">
        <v>143</v>
      </c>
      <c r="AX9" s="304"/>
      <c r="AY9" s="353"/>
      <c r="AZ9" s="426"/>
      <c r="BA9" s="426"/>
      <c r="BB9" s="426"/>
      <c r="BC9" s="352"/>
      <c r="BD9" s="305"/>
      <c r="BE9" s="306"/>
      <c r="BG9" s="269"/>
      <c r="BH9" s="253"/>
      <c r="BI9" s="254"/>
      <c r="BL9" s="456"/>
      <c r="BM9" s="449"/>
      <c r="BO9" s="437" t="s">
        <v>171</v>
      </c>
      <c r="BP9" s="501"/>
      <c r="BS9" s="456"/>
      <c r="BT9" s="449"/>
      <c r="BV9" s="506" t="s">
        <v>180</v>
      </c>
      <c r="BW9" s="518"/>
      <c r="BX9" s="519"/>
      <c r="BY9" s="459"/>
    </row>
    <row r="10" spans="2:77" ht="15.75" customHeight="1" thickTop="1" thickBot="1">
      <c r="B10" s="228" t="s">
        <v>22</v>
      </c>
      <c r="C10" s="229"/>
      <c r="D10" s="230" t="e">
        <f>INDEX('Раса&amp;Родина'!E1:E5,MATCH('ЛИСТ ПЕРСОНАЖА'!D4,'Раса&amp;Родина'!A1:A5,0))</f>
        <v>#N/A</v>
      </c>
      <c r="E10" s="231"/>
      <c r="F10" s="231"/>
      <c r="G10" s="231"/>
      <c r="H10" s="231"/>
      <c r="I10" s="231"/>
      <c r="J10" s="232"/>
      <c r="K10" s="10"/>
      <c r="L10" s="280" t="s">
        <v>24</v>
      </c>
      <c r="M10" s="320"/>
      <c r="N10" s="320"/>
      <c r="O10" s="281"/>
      <c r="P10" s="317"/>
      <c r="Q10" s="318"/>
      <c r="R10" s="318"/>
      <c r="S10" s="319"/>
      <c r="U10" s="226" t="s">
        <v>54</v>
      </c>
      <c r="V10" s="297"/>
      <c r="W10" s="297"/>
      <c r="X10" s="297"/>
      <c r="Y10" s="297"/>
      <c r="Z10" s="227"/>
      <c r="AA10" s="53" t="s">
        <v>56</v>
      </c>
      <c r="AB10" s="54" t="s">
        <v>57</v>
      </c>
      <c r="AE10" s="55"/>
      <c r="AF10" s="265" t="str">
        <f>Y19</f>
        <v>Укус</v>
      </c>
      <c r="AG10" s="223"/>
      <c r="AH10" s="223"/>
      <c r="AI10" s="223"/>
      <c r="AJ10" s="224"/>
      <c r="AK10" s="33" t="str">
        <f>Y20</f>
        <v>СА 1</v>
      </c>
      <c r="AL10" s="33" t="str">
        <f>Y21</f>
        <v>2d6</v>
      </c>
      <c r="AM10" s="33" t="str">
        <f>Y22</f>
        <v xml:space="preserve"> </v>
      </c>
      <c r="AN10" s="33"/>
      <c r="AO10" s="33" t="str">
        <f>Y23</f>
        <v xml:space="preserve"> </v>
      </c>
      <c r="AP10" s="474" t="str">
        <f>Y24</f>
        <v xml:space="preserve"> </v>
      </c>
      <c r="AQ10" s="474"/>
      <c r="AR10" s="474"/>
      <c r="AS10" s="33"/>
      <c r="AT10" s="33" t="str">
        <f>Y25</f>
        <v xml:space="preserve"> </v>
      </c>
      <c r="AU10" s="217"/>
      <c r="AX10" s="424"/>
      <c r="AY10" s="348"/>
      <c r="AZ10" s="425"/>
      <c r="BA10" s="425"/>
      <c r="BB10" s="425"/>
      <c r="BC10" s="346"/>
      <c r="BD10" s="347"/>
      <c r="BE10" s="427"/>
      <c r="BG10" s="269"/>
      <c r="BH10" s="253"/>
      <c r="BI10" s="254"/>
      <c r="BL10" s="457" t="s">
        <v>164</v>
      </c>
      <c r="BM10" s="448" t="s">
        <v>866</v>
      </c>
      <c r="BO10" s="436"/>
      <c r="BP10" s="503"/>
      <c r="BS10" s="457" t="s">
        <v>164</v>
      </c>
      <c r="BT10" s="448" t="s">
        <v>866</v>
      </c>
      <c r="BV10" s="507"/>
      <c r="BW10" s="520"/>
      <c r="BX10" s="521"/>
      <c r="BY10" s="461"/>
    </row>
    <row r="11" spans="2:77" ht="15.75" customHeight="1" thickTop="1" thickBot="1">
      <c r="B11" s="287" t="e">
        <f>INDEX('Раса&amp;Родина'!F1:F5,MATCH('ЛИСТ ПЕРСОНАЖА'!D4,'Раса&amp;Родина'!A1:A5,0))</f>
        <v>#N/A</v>
      </c>
      <c r="C11" s="288"/>
      <c r="D11" s="288"/>
      <c r="E11" s="288"/>
      <c r="F11" s="288"/>
      <c r="G11" s="288"/>
      <c r="H11" s="288"/>
      <c r="I11" s="288"/>
      <c r="J11" s="289"/>
      <c r="K11" s="10"/>
      <c r="U11" s="310"/>
      <c r="V11" s="223"/>
      <c r="W11" s="223"/>
      <c r="X11" s="223"/>
      <c r="Y11" s="223"/>
      <c r="Z11" s="224"/>
      <c r="AA11" s="38"/>
      <c r="AB11" s="35"/>
      <c r="AE11" s="55"/>
      <c r="AF11" s="265" t="str">
        <f>Y28</f>
        <v xml:space="preserve"> </v>
      </c>
      <c r="AG11" s="223"/>
      <c r="AH11" s="223"/>
      <c r="AI11" s="223"/>
      <c r="AJ11" s="224"/>
      <c r="AK11" s="33" t="str">
        <f>Y29</f>
        <v xml:space="preserve"> </v>
      </c>
      <c r="AL11" s="33" t="str">
        <f>Y30</f>
        <v xml:space="preserve"> </v>
      </c>
      <c r="AM11" s="33" t="str">
        <f>Y31</f>
        <v xml:space="preserve"> </v>
      </c>
      <c r="AN11" s="33"/>
      <c r="AO11" s="33" t="str">
        <f>Y32</f>
        <v xml:space="preserve"> </v>
      </c>
      <c r="AP11" s="474" t="str">
        <f>Y33</f>
        <v xml:space="preserve"> </v>
      </c>
      <c r="AQ11" s="474"/>
      <c r="AR11" s="474"/>
      <c r="AS11" s="33"/>
      <c r="AT11" s="33" t="str">
        <f>Y34</f>
        <v xml:space="preserve"> </v>
      </c>
      <c r="AU11" s="217"/>
      <c r="AX11" s="304"/>
      <c r="AY11" s="353"/>
      <c r="AZ11" s="426"/>
      <c r="BA11" s="426"/>
      <c r="BB11" s="426"/>
      <c r="BC11" s="352"/>
      <c r="BD11" s="305"/>
      <c r="BE11" s="306"/>
      <c r="BG11" s="269"/>
      <c r="BH11" s="253"/>
      <c r="BI11" s="254"/>
      <c r="BL11" s="456"/>
      <c r="BM11" s="449"/>
      <c r="BO11" s="499" t="s">
        <v>172</v>
      </c>
      <c r="BP11" s="501"/>
      <c r="BS11" s="456"/>
      <c r="BT11" s="449"/>
      <c r="BV11" s="506" t="s">
        <v>181</v>
      </c>
      <c r="BW11" s="518"/>
      <c r="BX11" s="519"/>
      <c r="BY11" s="459"/>
    </row>
    <row r="12" spans="2:77" ht="15.75" customHeight="1" thickTop="1" thickBot="1">
      <c r="B12" s="287" t="e">
        <f>INDEX('Раса&amp;Родина'!G1:G5,MATCH('ЛИСТ ПЕРСОНАЖА'!D4,'Раса&amp;Родина'!A1:A5,0))</f>
        <v>#N/A</v>
      </c>
      <c r="C12" s="288"/>
      <c r="D12" s="288"/>
      <c r="E12" s="288"/>
      <c r="F12" s="288"/>
      <c r="G12" s="288"/>
      <c r="H12" s="288"/>
      <c r="I12" s="288"/>
      <c r="J12" s="289"/>
      <c r="K12" s="10"/>
      <c r="L12" s="226" t="s">
        <v>25</v>
      </c>
      <c r="M12" s="297"/>
      <c r="N12" s="297"/>
      <c r="O12" s="297"/>
      <c r="P12" s="297"/>
      <c r="Q12" s="297"/>
      <c r="R12" s="297"/>
      <c r="S12" s="329"/>
      <c r="U12" s="310"/>
      <c r="V12" s="223"/>
      <c r="W12" s="223"/>
      <c r="X12" s="223"/>
      <c r="Y12" s="223"/>
      <c r="Z12" s="224"/>
      <c r="AA12" s="38"/>
      <c r="AB12" s="12"/>
      <c r="AE12" s="55"/>
      <c r="AF12" s="265"/>
      <c r="AG12" s="223"/>
      <c r="AH12" s="223"/>
      <c r="AI12" s="223"/>
      <c r="AJ12" s="224"/>
      <c r="AK12" s="33"/>
      <c r="AL12" s="33"/>
      <c r="AM12" s="33"/>
      <c r="AN12" s="33"/>
      <c r="AO12" s="33"/>
      <c r="AP12" s="474"/>
      <c r="AQ12" s="474"/>
      <c r="AR12" s="474"/>
      <c r="AS12" s="33"/>
      <c r="AT12" s="33"/>
      <c r="AU12" s="217"/>
      <c r="AX12" s="424"/>
      <c r="AY12" s="348"/>
      <c r="AZ12" s="425"/>
      <c r="BA12" s="425"/>
      <c r="BB12" s="425"/>
      <c r="BC12" s="346"/>
      <c r="BD12" s="347"/>
      <c r="BE12" s="427"/>
      <c r="BG12" s="15"/>
      <c r="BH12" s="23"/>
      <c r="BI12" s="16"/>
      <c r="BL12" s="457" t="s">
        <v>165</v>
      </c>
      <c r="BM12" s="448" t="s">
        <v>874</v>
      </c>
      <c r="BO12" s="500"/>
      <c r="BP12" s="502"/>
      <c r="BS12" s="457" t="s">
        <v>165</v>
      </c>
      <c r="BT12" s="448" t="s">
        <v>874</v>
      </c>
      <c r="BV12" s="508"/>
      <c r="BW12" s="522"/>
      <c r="BX12" s="523"/>
      <c r="BY12" s="463"/>
    </row>
    <row r="13" spans="2:77" ht="15.75" customHeight="1" thickTop="1" thickBot="1">
      <c r="B13" s="284" t="e">
        <f>INDEX('Раса&amp;Родина'!H1:H5,MATCH('ЛИСТ ПЕРСОНАЖА'!D4,'Раса&amp;Родина'!A1:A5,0))</f>
        <v>#N/A</v>
      </c>
      <c r="C13" s="285"/>
      <c r="D13" s="285"/>
      <c r="E13" s="285"/>
      <c r="F13" s="285"/>
      <c r="G13" s="285"/>
      <c r="H13" s="285"/>
      <c r="I13" s="285"/>
      <c r="J13" s="286"/>
      <c r="K13" s="10"/>
      <c r="L13" s="249" t="s">
        <v>26</v>
      </c>
      <c r="M13" s="250"/>
      <c r="N13" s="251"/>
      <c r="O13" s="264" t="s">
        <v>27</v>
      </c>
      <c r="P13" s="251"/>
      <c r="Q13" s="264" t="s">
        <v>28</v>
      </c>
      <c r="R13" s="250"/>
      <c r="S13" s="258"/>
      <c r="U13" s="310"/>
      <c r="V13" s="223"/>
      <c r="W13" s="223"/>
      <c r="X13" s="223"/>
      <c r="Y13" s="223"/>
      <c r="Z13" s="224"/>
      <c r="AA13" s="45"/>
      <c r="AB13" s="34"/>
      <c r="AE13" s="55"/>
      <c r="AF13" s="265"/>
      <c r="AG13" s="223"/>
      <c r="AH13" s="223"/>
      <c r="AI13" s="223"/>
      <c r="AJ13" s="224"/>
      <c r="AK13" s="33"/>
      <c r="AL13" s="33"/>
      <c r="AM13" s="33"/>
      <c r="AN13" s="33"/>
      <c r="AO13" s="33"/>
      <c r="AP13" s="474"/>
      <c r="AQ13" s="474"/>
      <c r="AR13" s="474"/>
      <c r="AS13" s="33"/>
      <c r="AT13" s="33"/>
      <c r="AU13" s="217"/>
      <c r="AX13" s="304"/>
      <c r="AY13" s="353"/>
      <c r="AZ13" s="426"/>
      <c r="BA13" s="426"/>
      <c r="BB13" s="426"/>
      <c r="BC13" s="352"/>
      <c r="BD13" s="305"/>
      <c r="BE13" s="306"/>
      <c r="BL13" s="456"/>
      <c r="BM13" s="449"/>
      <c r="BS13" s="456"/>
      <c r="BT13" s="449"/>
    </row>
    <row r="14" spans="2:77" ht="15.75" customHeight="1" thickTop="1" thickBot="1">
      <c r="L14" s="249" t="s">
        <v>29</v>
      </c>
      <c r="M14" s="250"/>
      <c r="N14" s="251"/>
      <c r="O14" s="252">
        <v>0</v>
      </c>
      <c r="P14" s="279"/>
      <c r="Q14" s="252"/>
      <c r="R14" s="253"/>
      <c r="S14" s="254"/>
      <c r="U14" s="310"/>
      <c r="V14" s="223"/>
      <c r="W14" s="223"/>
      <c r="X14" s="223"/>
      <c r="Y14" s="223"/>
      <c r="Z14" s="224"/>
      <c r="AA14" s="46"/>
      <c r="AB14" s="34"/>
      <c r="AE14" s="55"/>
      <c r="AF14" s="265"/>
      <c r="AG14" s="223"/>
      <c r="AH14" s="223"/>
      <c r="AI14" s="223"/>
      <c r="AJ14" s="224"/>
      <c r="AK14" s="33"/>
      <c r="AL14" s="33"/>
      <c r="AM14" s="33"/>
      <c r="AN14" s="33"/>
      <c r="AO14" s="33"/>
      <c r="AP14" s="474"/>
      <c r="AQ14" s="474"/>
      <c r="AR14" s="474"/>
      <c r="AS14" s="33"/>
      <c r="AT14" s="33"/>
      <c r="AU14" s="217"/>
      <c r="AX14" s="424"/>
      <c r="AY14" s="348"/>
      <c r="AZ14" s="425"/>
      <c r="BA14" s="425"/>
      <c r="BB14" s="425"/>
      <c r="BC14" s="346"/>
      <c r="BD14" s="347"/>
      <c r="BE14" s="427"/>
      <c r="BG14" s="226" t="s">
        <v>155</v>
      </c>
      <c r="BH14" s="297"/>
      <c r="BI14" s="329"/>
      <c r="BL14" s="450" t="s">
        <v>166</v>
      </c>
      <c r="BM14" s="453" t="s">
        <v>885</v>
      </c>
      <c r="BO14" s="226" t="s">
        <v>173</v>
      </c>
      <c r="BP14" s="329"/>
      <c r="BS14" s="450" t="s">
        <v>166</v>
      </c>
      <c r="BT14" s="453" t="s">
        <v>885</v>
      </c>
      <c r="BV14" s="226" t="s">
        <v>173</v>
      </c>
      <c r="BW14" s="297"/>
      <c r="BX14" s="297"/>
      <c r="BY14" s="329"/>
    </row>
    <row r="15" spans="2:77" ht="16.5" thickTop="1" thickBot="1">
      <c r="B15" s="13" t="s">
        <v>37</v>
      </c>
      <c r="C15" s="282">
        <v>2</v>
      </c>
      <c r="D15" s="283"/>
      <c r="E15" s="290"/>
      <c r="F15" s="291"/>
      <c r="H15" s="226" t="s">
        <v>46</v>
      </c>
      <c r="I15" s="227"/>
      <c r="J15" s="11">
        <f>INDEX('Таблица физ параметров'!E3:E14,MATCH('Таблица физ параметров'!C1,'Таблица физ параметров'!A3:A14,0))</f>
        <v>6</v>
      </c>
      <c r="L15" s="249" t="s">
        <v>30</v>
      </c>
      <c r="M15" s="250"/>
      <c r="N15" s="251"/>
      <c r="O15" s="252">
        <v>0</v>
      </c>
      <c r="P15" s="279"/>
      <c r="Q15" s="252"/>
      <c r="R15" s="253"/>
      <c r="S15" s="254"/>
      <c r="U15" s="249" t="s">
        <v>55</v>
      </c>
      <c r="V15" s="250"/>
      <c r="W15" s="250"/>
      <c r="X15" s="250"/>
      <c r="Y15" s="250"/>
      <c r="Z15" s="250"/>
      <c r="AA15" s="250"/>
      <c r="AB15" s="258"/>
      <c r="AE15" s="56"/>
      <c r="AF15" s="266"/>
      <c r="AG15" s="267"/>
      <c r="AH15" s="267"/>
      <c r="AI15" s="267"/>
      <c r="AJ15" s="268"/>
      <c r="AK15" s="31"/>
      <c r="AL15" s="31"/>
      <c r="AM15" s="31"/>
      <c r="AN15" s="31"/>
      <c r="AO15" s="31"/>
      <c r="AP15" s="488"/>
      <c r="AQ15" s="295"/>
      <c r="AR15" s="415"/>
      <c r="AS15" s="31"/>
      <c r="AT15" s="31"/>
      <c r="AU15" s="218"/>
      <c r="AX15" s="304"/>
      <c r="AY15" s="353"/>
      <c r="AZ15" s="426"/>
      <c r="BA15" s="426"/>
      <c r="BB15" s="426"/>
      <c r="BC15" s="352"/>
      <c r="BD15" s="305"/>
      <c r="BE15" s="306"/>
      <c r="BG15" s="6" t="s">
        <v>127</v>
      </c>
      <c r="BH15" s="58" t="s">
        <v>156</v>
      </c>
      <c r="BI15" s="9" t="s">
        <v>63</v>
      </c>
      <c r="BL15" s="451"/>
      <c r="BM15" s="454"/>
      <c r="BO15" s="2" t="s">
        <v>175</v>
      </c>
      <c r="BP15" s="9" t="s">
        <v>174</v>
      </c>
      <c r="BS15" s="451"/>
      <c r="BT15" s="454"/>
      <c r="BV15" s="52" t="s">
        <v>175</v>
      </c>
      <c r="BW15" s="264" t="s">
        <v>174</v>
      </c>
      <c r="BX15" s="250"/>
      <c r="BY15" s="258"/>
    </row>
    <row r="16" spans="2:77" ht="16.5" thickTop="1" thickBot="1">
      <c r="B16" s="14" t="s">
        <v>38</v>
      </c>
      <c r="C16" s="395">
        <v>5</v>
      </c>
      <c r="D16" s="396"/>
      <c r="E16" s="245"/>
      <c r="F16" s="246"/>
      <c r="H16" s="249" t="s">
        <v>47</v>
      </c>
      <c r="I16" s="251"/>
      <c r="J16" s="12">
        <f>C19*3</f>
        <v>24</v>
      </c>
      <c r="L16" s="249" t="s">
        <v>31</v>
      </c>
      <c r="M16" s="250"/>
      <c r="N16" s="251"/>
      <c r="O16" s="252">
        <v>0</v>
      </c>
      <c r="P16" s="279"/>
      <c r="Q16" s="252"/>
      <c r="R16" s="253"/>
      <c r="S16" s="254"/>
      <c r="U16" s="304"/>
      <c r="V16" s="305"/>
      <c r="W16" s="305"/>
      <c r="X16" s="305"/>
      <c r="Y16" s="305"/>
      <c r="Z16" s="305"/>
      <c r="AA16" s="305"/>
      <c r="AB16" s="306"/>
      <c r="AX16" s="424"/>
      <c r="AY16" s="348"/>
      <c r="AZ16" s="425"/>
      <c r="BA16" s="425"/>
      <c r="BB16" s="425"/>
      <c r="BC16" s="346"/>
      <c r="BD16" s="347"/>
      <c r="BE16" s="427"/>
      <c r="BG16" s="437"/>
      <c r="BH16" s="348"/>
      <c r="BI16" s="432"/>
      <c r="BO16" s="446">
        <v>10</v>
      </c>
      <c r="BP16" s="448"/>
      <c r="BV16" s="446">
        <v>10</v>
      </c>
      <c r="BW16" s="509"/>
      <c r="BX16" s="510"/>
      <c r="BY16" s="511"/>
    </row>
    <row r="17" spans="2:77" ht="16.5" thickTop="1" thickBot="1">
      <c r="B17" s="14" t="s">
        <v>39</v>
      </c>
      <c r="C17" s="395">
        <v>7</v>
      </c>
      <c r="D17" s="396"/>
      <c r="E17" s="245"/>
      <c r="F17" s="246"/>
      <c r="H17" s="249" t="s">
        <v>48</v>
      </c>
      <c r="I17" s="251"/>
      <c r="J17" s="12">
        <f>ROUNDDOWN(J16/5,0)</f>
        <v>4</v>
      </c>
      <c r="L17" s="249" t="s">
        <v>32</v>
      </c>
      <c r="M17" s="250"/>
      <c r="N17" s="251"/>
      <c r="O17" s="252">
        <v>0</v>
      </c>
      <c r="P17" s="279"/>
      <c r="Q17" s="252"/>
      <c r="R17" s="253"/>
      <c r="S17" s="254"/>
      <c r="U17" s="294"/>
      <c r="V17" s="295"/>
      <c r="W17" s="295"/>
      <c r="X17" s="295"/>
      <c r="Y17" s="295"/>
      <c r="Z17" s="295"/>
      <c r="AA17" s="295"/>
      <c r="AB17" s="296"/>
      <c r="AE17" s="226" t="s">
        <v>144</v>
      </c>
      <c r="AF17" s="297"/>
      <c r="AG17" s="297"/>
      <c r="AH17" s="297"/>
      <c r="AI17" s="297"/>
      <c r="AJ17" s="297"/>
      <c r="AK17" s="297"/>
      <c r="AL17" s="297"/>
      <c r="AM17" s="297"/>
      <c r="AN17" s="329"/>
      <c r="AP17" s="226" t="s">
        <v>146</v>
      </c>
      <c r="AQ17" s="297"/>
      <c r="AR17" s="297"/>
      <c r="AS17" s="297"/>
      <c r="AT17" s="297"/>
      <c r="AU17" s="329"/>
      <c r="AX17" s="304"/>
      <c r="AY17" s="353"/>
      <c r="AZ17" s="426"/>
      <c r="BA17" s="426"/>
      <c r="BB17" s="426"/>
      <c r="BC17" s="352"/>
      <c r="BD17" s="305"/>
      <c r="BE17" s="306"/>
      <c r="BG17" s="435"/>
      <c r="BH17" s="351"/>
      <c r="BI17" s="433"/>
      <c r="BL17" s="226" t="s">
        <v>167</v>
      </c>
      <c r="BM17" s="329"/>
      <c r="BO17" s="447"/>
      <c r="BP17" s="449"/>
      <c r="BS17" s="226" t="s">
        <v>182</v>
      </c>
      <c r="BT17" s="329"/>
      <c r="BV17" s="447"/>
      <c r="BW17" s="512"/>
      <c r="BX17" s="513"/>
      <c r="BY17" s="514"/>
    </row>
    <row r="18" spans="2:77" ht="16.5" thickTop="1" thickBot="1">
      <c r="B18" s="14" t="s">
        <v>40</v>
      </c>
      <c r="C18" s="395">
        <v>6</v>
      </c>
      <c r="D18" s="396"/>
      <c r="E18" s="245"/>
      <c r="F18" s="246"/>
      <c r="H18" s="249" t="s">
        <v>50</v>
      </c>
      <c r="I18" s="251"/>
      <c r="J18" s="12">
        <f>C18*10+IF(D4="Краснолюд",25,0)</f>
        <v>60</v>
      </c>
      <c r="L18" s="249" t="s">
        <v>33</v>
      </c>
      <c r="M18" s="250"/>
      <c r="N18" s="251"/>
      <c r="O18" s="252">
        <v>0</v>
      </c>
      <c r="P18" s="279"/>
      <c r="Q18" s="252"/>
      <c r="R18" s="253"/>
      <c r="S18" s="254"/>
      <c r="AE18" s="49" t="s">
        <v>5</v>
      </c>
      <c r="AF18" s="264" t="s">
        <v>127</v>
      </c>
      <c r="AG18" s="250"/>
      <c r="AH18" s="251"/>
      <c r="AI18" s="264" t="s">
        <v>145</v>
      </c>
      <c r="AJ18" s="250"/>
      <c r="AK18" s="250"/>
      <c r="AL18" s="251"/>
      <c r="AM18" s="264" t="s">
        <v>143</v>
      </c>
      <c r="AN18" s="258"/>
      <c r="AP18" s="249" t="s">
        <v>16</v>
      </c>
      <c r="AQ18" s="250"/>
      <c r="AR18" s="250"/>
      <c r="AS18" s="251"/>
      <c r="AT18" s="50" t="s">
        <v>5</v>
      </c>
      <c r="AU18" s="25" t="s">
        <v>143</v>
      </c>
      <c r="AX18" s="424"/>
      <c r="AY18" s="348"/>
      <c r="AZ18" s="425"/>
      <c r="BA18" s="425"/>
      <c r="BB18" s="425"/>
      <c r="BC18" s="346"/>
      <c r="BD18" s="347"/>
      <c r="BE18" s="427"/>
      <c r="BG18" s="435"/>
      <c r="BH18" s="351"/>
      <c r="BI18" s="433"/>
      <c r="BL18" s="458"/>
      <c r="BM18" s="459"/>
      <c r="BO18" s="446">
        <v>20</v>
      </c>
      <c r="BP18" s="448"/>
      <c r="BS18" s="458"/>
      <c r="BT18" s="459"/>
      <c r="BV18" s="446">
        <v>20</v>
      </c>
      <c r="BW18" s="509"/>
      <c r="BX18" s="510"/>
      <c r="BY18" s="511"/>
    </row>
    <row r="19" spans="2:77" ht="15" customHeight="1" thickTop="1" thickBot="1">
      <c r="B19" s="14" t="s">
        <v>41</v>
      </c>
      <c r="C19" s="395">
        <v>8</v>
      </c>
      <c r="D19" s="396"/>
      <c r="E19" s="245"/>
      <c r="F19" s="246"/>
      <c r="H19" s="255" t="s">
        <v>49</v>
      </c>
      <c r="I19" s="256"/>
      <c r="J19" s="51">
        <f>INDEX('Таблица физ параметров'!D3:D14,MATCH('Таблица физ параметров'!C1,'Таблица физ параметров'!A3:A14,0))</f>
        <v>6</v>
      </c>
      <c r="L19" s="249" t="s">
        <v>34</v>
      </c>
      <c r="M19" s="250"/>
      <c r="N19" s="251"/>
      <c r="O19" s="252">
        <v>0</v>
      </c>
      <c r="P19" s="279"/>
      <c r="Q19" s="252"/>
      <c r="R19" s="253"/>
      <c r="S19" s="254"/>
      <c r="U19" s="226" t="s">
        <v>58</v>
      </c>
      <c r="V19" s="297"/>
      <c r="W19" s="297"/>
      <c r="X19" s="227"/>
      <c r="Y19" s="492" t="s">
        <v>900</v>
      </c>
      <c r="Z19" s="492"/>
      <c r="AA19" s="492"/>
      <c r="AB19" s="493"/>
      <c r="AE19" s="55"/>
      <c r="AF19" s="223"/>
      <c r="AG19" s="223"/>
      <c r="AH19" s="224"/>
      <c r="AI19" s="252"/>
      <c r="AJ19" s="253"/>
      <c r="AK19" s="253"/>
      <c r="AL19" s="279"/>
      <c r="AM19" s="413"/>
      <c r="AN19" s="414"/>
      <c r="AP19" s="310"/>
      <c r="AQ19" s="223"/>
      <c r="AR19" s="223"/>
      <c r="AS19" s="224"/>
      <c r="AT19" s="47"/>
      <c r="AU19" s="217"/>
      <c r="AX19" s="304"/>
      <c r="AY19" s="353"/>
      <c r="AZ19" s="426"/>
      <c r="BA19" s="426"/>
      <c r="BB19" s="426"/>
      <c r="BC19" s="352"/>
      <c r="BD19" s="305"/>
      <c r="BE19" s="306"/>
      <c r="BG19" s="436"/>
      <c r="BH19" s="353"/>
      <c r="BI19" s="434"/>
      <c r="BL19" s="460"/>
      <c r="BM19" s="461"/>
      <c r="BO19" s="447"/>
      <c r="BP19" s="449"/>
      <c r="BS19" s="460"/>
      <c r="BT19" s="461"/>
      <c r="BV19" s="447"/>
      <c r="BW19" s="512"/>
      <c r="BX19" s="513"/>
      <c r="BY19" s="514"/>
    </row>
    <row r="20" spans="2:77" ht="16.5" thickTop="1" thickBot="1">
      <c r="B20" s="14" t="s">
        <v>42</v>
      </c>
      <c r="C20" s="395">
        <v>1</v>
      </c>
      <c r="D20" s="396"/>
      <c r="E20" s="245"/>
      <c r="F20" s="246"/>
      <c r="H20" s="257"/>
      <c r="I20" s="257"/>
      <c r="J20" s="57"/>
      <c r="L20" s="249" t="s">
        <v>53</v>
      </c>
      <c r="M20" s="250"/>
      <c r="N20" s="250"/>
      <c r="O20" s="250"/>
      <c r="P20" s="250"/>
      <c r="Q20" s="250"/>
      <c r="R20" s="250"/>
      <c r="S20" s="258"/>
      <c r="U20" s="249" t="s">
        <v>59</v>
      </c>
      <c r="V20" s="250"/>
      <c r="W20" s="250"/>
      <c r="X20" s="251"/>
      <c r="Y20" s="489" t="s">
        <v>901</v>
      </c>
      <c r="Z20" s="490"/>
      <c r="AA20" s="490"/>
      <c r="AB20" s="491"/>
      <c r="AE20" s="55"/>
      <c r="AF20" s="223"/>
      <c r="AG20" s="223"/>
      <c r="AH20" s="224"/>
      <c r="AI20" s="252"/>
      <c r="AJ20" s="253"/>
      <c r="AK20" s="253"/>
      <c r="AL20" s="279"/>
      <c r="AM20" s="413"/>
      <c r="AN20" s="414"/>
      <c r="AP20" s="310"/>
      <c r="AQ20" s="223"/>
      <c r="AR20" s="223"/>
      <c r="AS20" s="224"/>
      <c r="AT20" s="47"/>
      <c r="AU20" s="217"/>
      <c r="AX20" s="424"/>
      <c r="AY20" s="348"/>
      <c r="AZ20" s="425"/>
      <c r="BA20" s="425"/>
      <c r="BB20" s="425"/>
      <c r="BC20" s="346"/>
      <c r="BD20" s="347"/>
      <c r="BE20" s="427"/>
      <c r="BG20" s="435"/>
      <c r="BH20" s="425"/>
      <c r="BI20" s="432"/>
      <c r="BL20" s="458"/>
      <c r="BM20" s="459"/>
      <c r="BO20" s="446">
        <v>30</v>
      </c>
      <c r="BP20" s="448"/>
      <c r="BS20" s="458"/>
      <c r="BT20" s="459"/>
      <c r="BV20" s="446">
        <v>30</v>
      </c>
      <c r="BW20" s="509"/>
      <c r="BX20" s="510"/>
      <c r="BY20" s="511"/>
    </row>
    <row r="21" spans="2:77" ht="15.75" thickTop="1">
      <c r="B21" s="14" t="s">
        <v>43</v>
      </c>
      <c r="C21" s="395">
        <v>1</v>
      </c>
      <c r="D21" s="396"/>
      <c r="E21" s="245"/>
      <c r="F21" s="246"/>
      <c r="H21" s="277" t="s">
        <v>0</v>
      </c>
      <c r="I21" s="278"/>
      <c r="J21" s="48"/>
      <c r="L21" s="259" t="s">
        <v>896</v>
      </c>
      <c r="M21" s="260"/>
      <c r="N21" s="260"/>
      <c r="O21" s="260"/>
      <c r="P21" s="260"/>
      <c r="Q21" s="260"/>
      <c r="R21" s="260"/>
      <c r="S21" s="261"/>
      <c r="U21" s="249" t="s">
        <v>60</v>
      </c>
      <c r="V21" s="250"/>
      <c r="W21" s="250"/>
      <c r="X21" s="251"/>
      <c r="Y21" s="489" t="s">
        <v>902</v>
      </c>
      <c r="Z21" s="490"/>
      <c r="AA21" s="490"/>
      <c r="AB21" s="491"/>
      <c r="AE21" s="55"/>
      <c r="AF21" s="223"/>
      <c r="AG21" s="223"/>
      <c r="AH21" s="224"/>
      <c r="AI21" s="252"/>
      <c r="AJ21" s="253"/>
      <c r="AK21" s="253"/>
      <c r="AL21" s="279"/>
      <c r="AM21" s="413"/>
      <c r="AN21" s="414"/>
      <c r="AP21" s="310"/>
      <c r="AQ21" s="223"/>
      <c r="AR21" s="223"/>
      <c r="AS21" s="224"/>
      <c r="AT21" s="47"/>
      <c r="AU21" s="217"/>
      <c r="AX21" s="304"/>
      <c r="AY21" s="353"/>
      <c r="AZ21" s="426"/>
      <c r="BA21" s="426"/>
      <c r="BB21" s="426"/>
      <c r="BC21" s="352"/>
      <c r="BD21" s="305"/>
      <c r="BE21" s="306"/>
      <c r="BG21" s="435"/>
      <c r="BH21" s="431"/>
      <c r="BI21" s="433"/>
      <c r="BL21" s="460"/>
      <c r="BM21" s="461"/>
      <c r="BO21" s="447"/>
      <c r="BP21" s="449"/>
      <c r="BS21" s="460"/>
      <c r="BT21" s="461"/>
      <c r="BV21" s="447"/>
      <c r="BW21" s="512"/>
      <c r="BX21" s="513"/>
      <c r="BY21" s="514"/>
    </row>
    <row r="22" spans="2:77">
      <c r="B22" s="2" t="s">
        <v>44</v>
      </c>
      <c r="C22" s="395">
        <v>6</v>
      </c>
      <c r="D22" s="396"/>
      <c r="E22" s="245"/>
      <c r="F22" s="246"/>
      <c r="H22" s="273" t="s">
        <v>52</v>
      </c>
      <c r="I22" s="274"/>
      <c r="J22" s="4" t="str">
        <f>INDEX('Бой голыми руками'!B2:B14,MATCH('ЛИСТ ПЕРСОНАЖА'!C18,'Бой голыми руками'!A2:A14,0))</f>
        <v>1d6</v>
      </c>
      <c r="L22" s="259" t="s">
        <v>896</v>
      </c>
      <c r="M22" s="260"/>
      <c r="N22" s="260"/>
      <c r="O22" s="260"/>
      <c r="P22" s="260"/>
      <c r="Q22" s="260"/>
      <c r="R22" s="260"/>
      <c r="S22" s="261"/>
      <c r="U22" s="249" t="s">
        <v>61</v>
      </c>
      <c r="V22" s="250"/>
      <c r="W22" s="250"/>
      <c r="X22" s="251"/>
      <c r="Y22" s="489" t="s">
        <v>896</v>
      </c>
      <c r="Z22" s="494"/>
      <c r="AA22" s="489"/>
      <c r="AB22" s="491"/>
      <c r="AE22" s="55"/>
      <c r="AF22" s="223"/>
      <c r="AG22" s="223"/>
      <c r="AH22" s="224"/>
      <c r="AI22" s="252"/>
      <c r="AJ22" s="253"/>
      <c r="AK22" s="253"/>
      <c r="AL22" s="279"/>
      <c r="AM22" s="413"/>
      <c r="AN22" s="414"/>
      <c r="AP22" s="310"/>
      <c r="AQ22" s="223"/>
      <c r="AR22" s="223"/>
      <c r="AS22" s="224"/>
      <c r="AT22" s="47"/>
      <c r="AU22" s="217"/>
      <c r="AX22" s="424"/>
      <c r="AY22" s="348"/>
      <c r="AZ22" s="425"/>
      <c r="BA22" s="425"/>
      <c r="BB22" s="425"/>
      <c r="BC22" s="346"/>
      <c r="BD22" s="347"/>
      <c r="BE22" s="427"/>
      <c r="BG22" s="435"/>
      <c r="BH22" s="431"/>
      <c r="BI22" s="433"/>
      <c r="BL22" s="458"/>
      <c r="BM22" s="459"/>
      <c r="BO22" s="446">
        <v>40</v>
      </c>
      <c r="BP22" s="448"/>
      <c r="BS22" s="458"/>
      <c r="BT22" s="459"/>
      <c r="BV22" s="446">
        <v>40</v>
      </c>
      <c r="BW22" s="509"/>
      <c r="BX22" s="510"/>
      <c r="BY22" s="511"/>
    </row>
    <row r="23" spans="2:77" ht="15.75" thickBot="1">
      <c r="B23" s="153" t="s">
        <v>45</v>
      </c>
      <c r="C23" s="292">
        <v>0</v>
      </c>
      <c r="D23" s="293"/>
      <c r="E23" s="247"/>
      <c r="F23" s="248"/>
      <c r="H23" s="275" t="s">
        <v>51</v>
      </c>
      <c r="I23" s="276"/>
      <c r="J23" s="5" t="str">
        <f>INDEX('Бой голыми руками'!C2:C14,MATCH('ЛИСТ ПЕРСОНАЖА'!C18,'Бой голыми руками'!A2:A14,0))</f>
        <v>1d6+4</v>
      </c>
      <c r="L23" s="270" t="s">
        <v>896</v>
      </c>
      <c r="M23" s="271"/>
      <c r="N23" s="271"/>
      <c r="O23" s="271"/>
      <c r="P23" s="271"/>
      <c r="Q23" s="271"/>
      <c r="R23" s="271"/>
      <c r="S23" s="272"/>
      <c r="U23" s="249" t="s">
        <v>62</v>
      </c>
      <c r="V23" s="250"/>
      <c r="W23" s="250"/>
      <c r="X23" s="251"/>
      <c r="Y23" s="489" t="s">
        <v>896</v>
      </c>
      <c r="Z23" s="490"/>
      <c r="AA23" s="490"/>
      <c r="AB23" s="491"/>
      <c r="AE23" s="55"/>
      <c r="AF23" s="223"/>
      <c r="AG23" s="223"/>
      <c r="AH23" s="224"/>
      <c r="AI23" s="252"/>
      <c r="AJ23" s="253"/>
      <c r="AK23" s="253"/>
      <c r="AL23" s="279"/>
      <c r="AM23" s="413"/>
      <c r="AN23" s="414"/>
      <c r="AO23"/>
      <c r="AP23" s="310"/>
      <c r="AQ23" s="223"/>
      <c r="AR23" s="223"/>
      <c r="AS23" s="224"/>
      <c r="AT23" s="47"/>
      <c r="AU23" s="217"/>
      <c r="AX23" s="304"/>
      <c r="AY23" s="353"/>
      <c r="AZ23" s="426"/>
      <c r="BA23" s="426"/>
      <c r="BB23" s="426"/>
      <c r="BC23" s="352"/>
      <c r="BD23" s="305"/>
      <c r="BE23" s="306"/>
      <c r="BG23" s="436"/>
      <c r="BH23" s="426"/>
      <c r="BI23" s="434"/>
      <c r="BL23" s="460"/>
      <c r="BM23" s="461"/>
      <c r="BO23" s="447"/>
      <c r="BP23" s="449"/>
      <c r="BS23" s="460"/>
      <c r="BT23" s="461"/>
      <c r="BV23" s="447"/>
      <c r="BW23" s="512"/>
      <c r="BX23" s="513"/>
      <c r="BY23" s="514"/>
    </row>
    <row r="24" spans="2:77" ht="16.5" thickTop="1" thickBot="1">
      <c r="U24" s="249" t="s">
        <v>63</v>
      </c>
      <c r="V24" s="250"/>
      <c r="W24" s="250"/>
      <c r="X24" s="251"/>
      <c r="Y24" s="489" t="s">
        <v>896</v>
      </c>
      <c r="Z24" s="490"/>
      <c r="AA24" s="490"/>
      <c r="AB24" s="491"/>
      <c r="AE24" s="55"/>
      <c r="AF24" s="223"/>
      <c r="AG24" s="223"/>
      <c r="AH24" s="224"/>
      <c r="AI24" s="252"/>
      <c r="AJ24" s="253"/>
      <c r="AK24" s="253"/>
      <c r="AL24" s="279"/>
      <c r="AM24" s="413"/>
      <c r="AN24" s="414"/>
      <c r="AP24" s="310"/>
      <c r="AQ24" s="223"/>
      <c r="AR24" s="223"/>
      <c r="AS24" s="224"/>
      <c r="AT24" s="47"/>
      <c r="AU24" s="217"/>
      <c r="AX24" s="424"/>
      <c r="AY24" s="348"/>
      <c r="AZ24" s="425"/>
      <c r="BA24" s="425"/>
      <c r="BB24" s="425"/>
      <c r="BC24" s="346"/>
      <c r="BD24" s="347"/>
      <c r="BE24" s="427"/>
      <c r="BG24" s="437"/>
      <c r="BH24" s="425"/>
      <c r="BI24" s="432"/>
      <c r="BL24" s="458"/>
      <c r="BM24" s="459"/>
      <c r="BO24" s="446">
        <v>50</v>
      </c>
      <c r="BP24" s="448"/>
      <c r="BS24" s="458"/>
      <c r="BT24" s="459"/>
      <c r="BV24" s="446">
        <v>50</v>
      </c>
      <c r="BW24" s="509"/>
      <c r="BX24" s="510"/>
      <c r="BY24" s="511"/>
    </row>
    <row r="25" spans="2:77" ht="15.75" thickTop="1">
      <c r="B25" s="360" t="s">
        <v>65</v>
      </c>
      <c r="C25" s="361"/>
      <c r="D25" s="361"/>
      <c r="E25" s="361"/>
      <c r="F25" s="361"/>
      <c r="G25" s="362"/>
      <c r="H25" s="197"/>
      <c r="I25" s="363" t="s">
        <v>73</v>
      </c>
      <c r="J25" s="365"/>
      <c r="K25" s="365"/>
      <c r="L25" s="365"/>
      <c r="M25" s="366"/>
      <c r="N25" s="198"/>
      <c r="O25" s="360" t="s">
        <v>95</v>
      </c>
      <c r="P25" s="361"/>
      <c r="Q25" s="361"/>
      <c r="R25" s="361"/>
      <c r="S25" s="362"/>
      <c r="T25" s="198"/>
      <c r="U25" s="239" t="s">
        <v>64</v>
      </c>
      <c r="V25" s="240"/>
      <c r="W25" s="240"/>
      <c r="X25" s="241"/>
      <c r="Y25" s="242" t="s">
        <v>896</v>
      </c>
      <c r="Z25" s="243"/>
      <c r="AA25" s="243"/>
      <c r="AB25" s="244"/>
      <c r="AE25" s="55"/>
      <c r="AF25" s="223"/>
      <c r="AG25" s="223"/>
      <c r="AH25" s="224"/>
      <c r="AI25" s="252"/>
      <c r="AJ25" s="253"/>
      <c r="AK25" s="253"/>
      <c r="AL25" s="279"/>
      <c r="AM25" s="413"/>
      <c r="AN25" s="414"/>
      <c r="AP25" s="310"/>
      <c r="AQ25" s="223"/>
      <c r="AR25" s="223"/>
      <c r="AS25" s="224"/>
      <c r="AT25" s="47"/>
      <c r="AU25" s="217"/>
      <c r="AX25" s="304"/>
      <c r="AY25" s="353"/>
      <c r="AZ25" s="426"/>
      <c r="BA25" s="426"/>
      <c r="BB25" s="426"/>
      <c r="BC25" s="352"/>
      <c r="BD25" s="305"/>
      <c r="BE25" s="306"/>
      <c r="BG25" s="435"/>
      <c r="BH25" s="431"/>
      <c r="BI25" s="433"/>
      <c r="BL25" s="460"/>
      <c r="BM25" s="461"/>
      <c r="BO25" s="447"/>
      <c r="BP25" s="449"/>
      <c r="BS25" s="460"/>
      <c r="BT25" s="461"/>
      <c r="BV25" s="447"/>
      <c r="BW25" s="512"/>
      <c r="BX25" s="513"/>
      <c r="BY25" s="514"/>
    </row>
    <row r="26" spans="2:77" ht="15.75" thickBot="1">
      <c r="B26" s="354" t="s">
        <v>66</v>
      </c>
      <c r="C26" s="356"/>
      <c r="D26" s="383"/>
      <c r="E26" s="383"/>
      <c r="F26" s="407"/>
      <c r="G26" s="408"/>
      <c r="H26" s="199"/>
      <c r="I26" s="400" t="s">
        <v>74</v>
      </c>
      <c r="J26" s="401"/>
      <c r="K26" s="401"/>
      <c r="L26" s="201"/>
      <c r="M26" s="202"/>
      <c r="N26" s="198"/>
      <c r="O26" s="354" t="s">
        <v>96</v>
      </c>
      <c r="P26" s="355"/>
      <c r="Q26" s="356"/>
      <c r="R26" s="200">
        <v>6</v>
      </c>
      <c r="S26" s="202"/>
      <c r="T26" s="198"/>
      <c r="U26" s="495"/>
      <c r="V26" s="392"/>
      <c r="W26" s="392"/>
      <c r="X26" s="392"/>
      <c r="Y26" s="392"/>
      <c r="Z26" s="392"/>
      <c r="AA26" s="392"/>
      <c r="AB26" s="393"/>
      <c r="AE26" s="55"/>
      <c r="AF26" s="223"/>
      <c r="AG26" s="223"/>
      <c r="AH26" s="224"/>
      <c r="AI26" s="252"/>
      <c r="AJ26" s="253"/>
      <c r="AK26" s="253"/>
      <c r="AL26" s="279"/>
      <c r="AM26" s="413"/>
      <c r="AN26" s="414"/>
      <c r="AP26" s="310"/>
      <c r="AQ26" s="223"/>
      <c r="AR26" s="223"/>
      <c r="AS26" s="224"/>
      <c r="AT26" s="47"/>
      <c r="AU26" s="217"/>
      <c r="AX26" s="424"/>
      <c r="AY26" s="348"/>
      <c r="AZ26" s="425"/>
      <c r="BA26" s="425"/>
      <c r="BB26" s="425"/>
      <c r="BC26" s="346"/>
      <c r="BD26" s="347"/>
      <c r="BE26" s="427"/>
      <c r="BG26" s="435"/>
      <c r="BH26" s="431"/>
      <c r="BI26" s="433"/>
      <c r="BL26" s="458"/>
      <c r="BM26" s="459"/>
      <c r="BO26" s="446">
        <v>60</v>
      </c>
      <c r="BP26" s="448"/>
      <c r="BS26" s="458"/>
      <c r="BT26" s="459"/>
      <c r="BV26" s="446">
        <v>60</v>
      </c>
      <c r="BW26" s="509"/>
      <c r="BX26" s="510"/>
      <c r="BY26" s="511"/>
    </row>
    <row r="27" spans="2:77" ht="16.5" thickTop="1" thickBot="1">
      <c r="B27" s="354" t="s">
        <v>67</v>
      </c>
      <c r="C27" s="356"/>
      <c r="D27" s="383"/>
      <c r="E27" s="383"/>
      <c r="F27" s="375"/>
      <c r="G27" s="376"/>
      <c r="H27" s="203"/>
      <c r="I27" s="400" t="s">
        <v>75</v>
      </c>
      <c r="J27" s="401"/>
      <c r="K27" s="401"/>
      <c r="L27" s="201">
        <v>6</v>
      </c>
      <c r="M27" s="202"/>
      <c r="N27" s="198"/>
      <c r="O27" s="371" t="s">
        <v>97</v>
      </c>
      <c r="P27" s="372"/>
      <c r="Q27" s="373"/>
      <c r="R27" s="200">
        <v>6</v>
      </c>
      <c r="S27" s="202"/>
      <c r="T27" s="198"/>
      <c r="U27" s="198"/>
      <c r="V27" s="198"/>
      <c r="W27" s="198"/>
      <c r="X27" s="198"/>
      <c r="Y27" s="198"/>
      <c r="Z27" s="198"/>
      <c r="AA27" s="198"/>
      <c r="AB27" s="198"/>
      <c r="AE27" s="55"/>
      <c r="AF27" s="223"/>
      <c r="AG27" s="223"/>
      <c r="AH27" s="224"/>
      <c r="AI27" s="252"/>
      <c r="AJ27" s="253"/>
      <c r="AK27" s="253"/>
      <c r="AL27" s="279"/>
      <c r="AM27" s="413"/>
      <c r="AN27" s="414"/>
      <c r="AP27" s="310"/>
      <c r="AQ27" s="223"/>
      <c r="AR27" s="223"/>
      <c r="AS27" s="224"/>
      <c r="AT27" s="47"/>
      <c r="AU27" s="217"/>
      <c r="AX27" s="304"/>
      <c r="AY27" s="353"/>
      <c r="AZ27" s="426"/>
      <c r="BA27" s="426"/>
      <c r="BB27" s="426"/>
      <c r="BC27" s="352"/>
      <c r="BD27" s="305"/>
      <c r="BE27" s="306"/>
      <c r="BG27" s="436"/>
      <c r="BH27" s="426"/>
      <c r="BI27" s="434"/>
      <c r="BL27" s="460"/>
      <c r="BM27" s="461"/>
      <c r="BO27" s="447"/>
      <c r="BP27" s="449"/>
      <c r="BS27" s="460"/>
      <c r="BT27" s="461"/>
      <c r="BV27" s="447"/>
      <c r="BW27" s="512"/>
      <c r="BX27" s="513"/>
      <c r="BY27" s="514"/>
    </row>
    <row r="28" spans="2:77" ht="15.75" thickTop="1">
      <c r="B28" s="354" t="s">
        <v>68</v>
      </c>
      <c r="C28" s="356"/>
      <c r="D28" s="383"/>
      <c r="E28" s="383"/>
      <c r="F28" s="375"/>
      <c r="G28" s="376"/>
      <c r="H28" s="203"/>
      <c r="I28" s="402" t="s">
        <v>76</v>
      </c>
      <c r="J28" s="403"/>
      <c r="K28" s="403"/>
      <c r="L28" s="201"/>
      <c r="M28" s="202"/>
      <c r="N28" s="198"/>
      <c r="O28" s="354" t="s">
        <v>98</v>
      </c>
      <c r="P28" s="355"/>
      <c r="Q28" s="356"/>
      <c r="R28" s="200">
        <v>6</v>
      </c>
      <c r="S28" s="202"/>
      <c r="T28" s="198"/>
      <c r="U28" s="360" t="s">
        <v>58</v>
      </c>
      <c r="V28" s="361"/>
      <c r="W28" s="361"/>
      <c r="X28" s="364"/>
      <c r="Y28" s="496" t="s">
        <v>896</v>
      </c>
      <c r="Z28" s="496"/>
      <c r="AA28" s="496"/>
      <c r="AB28" s="497"/>
      <c r="AE28" s="55"/>
      <c r="AF28" s="223"/>
      <c r="AG28" s="223"/>
      <c r="AH28" s="224"/>
      <c r="AI28" s="252"/>
      <c r="AJ28" s="253"/>
      <c r="AK28" s="253"/>
      <c r="AL28" s="279"/>
      <c r="AM28" s="413"/>
      <c r="AN28" s="414"/>
      <c r="AP28" s="310"/>
      <c r="AQ28" s="223"/>
      <c r="AR28" s="223"/>
      <c r="AS28" s="224"/>
      <c r="AT28" s="47"/>
      <c r="AU28" s="217"/>
      <c r="AX28" s="424"/>
      <c r="AY28" s="348"/>
      <c r="AZ28" s="425"/>
      <c r="BA28" s="425"/>
      <c r="BB28" s="425"/>
      <c r="BC28" s="346"/>
      <c r="BD28" s="347"/>
      <c r="BE28" s="427"/>
      <c r="BG28" s="437"/>
      <c r="BH28" s="425"/>
      <c r="BI28" s="432"/>
      <c r="BL28" s="458"/>
      <c r="BM28" s="459"/>
      <c r="BO28" s="446">
        <v>70</v>
      </c>
      <c r="BP28" s="448"/>
      <c r="BS28" s="458"/>
      <c r="BT28" s="459"/>
      <c r="BV28" s="446">
        <v>70</v>
      </c>
      <c r="BW28" s="509"/>
      <c r="BX28" s="510"/>
      <c r="BY28" s="511"/>
    </row>
    <row r="29" spans="2:77">
      <c r="B29" s="354" t="s">
        <v>69</v>
      </c>
      <c r="C29" s="356"/>
      <c r="D29" s="383"/>
      <c r="E29" s="383"/>
      <c r="F29" s="375"/>
      <c r="G29" s="376"/>
      <c r="H29" s="203"/>
      <c r="I29" s="400" t="s">
        <v>77</v>
      </c>
      <c r="J29" s="401"/>
      <c r="K29" s="401"/>
      <c r="L29" s="201"/>
      <c r="M29" s="202"/>
      <c r="N29" s="198"/>
      <c r="O29" s="354" t="s">
        <v>99</v>
      </c>
      <c r="P29" s="355"/>
      <c r="Q29" s="356"/>
      <c r="R29" s="200"/>
      <c r="S29" s="202"/>
      <c r="T29" s="198"/>
      <c r="U29" s="239" t="s">
        <v>59</v>
      </c>
      <c r="V29" s="240"/>
      <c r="W29" s="240"/>
      <c r="X29" s="241"/>
      <c r="Y29" s="242" t="s">
        <v>896</v>
      </c>
      <c r="Z29" s="243"/>
      <c r="AA29" s="243"/>
      <c r="AB29" s="244"/>
      <c r="AE29" s="55"/>
      <c r="AF29" s="223"/>
      <c r="AG29" s="223"/>
      <c r="AH29" s="224"/>
      <c r="AI29" s="252"/>
      <c r="AJ29" s="253"/>
      <c r="AK29" s="253"/>
      <c r="AL29" s="279"/>
      <c r="AM29" s="413"/>
      <c r="AN29" s="414"/>
      <c r="AP29" s="310"/>
      <c r="AQ29" s="223"/>
      <c r="AR29" s="223"/>
      <c r="AS29" s="224"/>
      <c r="AT29" s="47"/>
      <c r="AU29" s="217"/>
      <c r="AX29" s="304"/>
      <c r="AY29" s="353"/>
      <c r="AZ29" s="426"/>
      <c r="BA29" s="426"/>
      <c r="BB29" s="426"/>
      <c r="BC29" s="352"/>
      <c r="BD29" s="305"/>
      <c r="BE29" s="306"/>
      <c r="BG29" s="435"/>
      <c r="BH29" s="431"/>
      <c r="BI29" s="433"/>
      <c r="BL29" s="460"/>
      <c r="BM29" s="461"/>
      <c r="BO29" s="447"/>
      <c r="BP29" s="449"/>
      <c r="BS29" s="460"/>
      <c r="BT29" s="461"/>
      <c r="BV29" s="447"/>
      <c r="BW29" s="512"/>
      <c r="BX29" s="513"/>
      <c r="BY29" s="514"/>
    </row>
    <row r="30" spans="2:77" ht="15.75" thickBot="1">
      <c r="B30" s="354" t="s">
        <v>70</v>
      </c>
      <c r="C30" s="356"/>
      <c r="D30" s="383"/>
      <c r="E30" s="383"/>
      <c r="F30" s="375"/>
      <c r="G30" s="376"/>
      <c r="H30" s="203"/>
      <c r="I30" s="409" t="s">
        <v>78</v>
      </c>
      <c r="J30" s="410"/>
      <c r="K30" s="410"/>
      <c r="L30" s="205">
        <v>6</v>
      </c>
      <c r="M30" s="206"/>
      <c r="N30" s="198"/>
      <c r="O30" s="354" t="s">
        <v>100</v>
      </c>
      <c r="P30" s="355"/>
      <c r="Q30" s="356"/>
      <c r="R30" s="200"/>
      <c r="S30" s="202"/>
      <c r="T30" s="198"/>
      <c r="U30" s="239" t="s">
        <v>60</v>
      </c>
      <c r="V30" s="240"/>
      <c r="W30" s="240"/>
      <c r="X30" s="241"/>
      <c r="Y30" s="242" t="s">
        <v>896</v>
      </c>
      <c r="Z30" s="243"/>
      <c r="AA30" s="243"/>
      <c r="AB30" s="244"/>
      <c r="AE30" s="55"/>
      <c r="AF30" s="223"/>
      <c r="AG30" s="223"/>
      <c r="AH30" s="224"/>
      <c r="AI30" s="252"/>
      <c r="AJ30" s="253"/>
      <c r="AK30" s="253"/>
      <c r="AL30" s="279"/>
      <c r="AM30" s="413"/>
      <c r="AN30" s="414"/>
      <c r="AP30" s="310"/>
      <c r="AQ30" s="223"/>
      <c r="AR30" s="223"/>
      <c r="AS30" s="224"/>
      <c r="AT30" s="47"/>
      <c r="AU30" s="217"/>
      <c r="AX30" s="424"/>
      <c r="AY30" s="348"/>
      <c r="AZ30" s="425"/>
      <c r="BA30" s="425"/>
      <c r="BB30" s="425"/>
      <c r="BC30" s="346"/>
      <c r="BD30" s="347"/>
      <c r="BE30" s="427"/>
      <c r="BG30" s="435"/>
      <c r="BH30" s="431"/>
      <c r="BI30" s="433"/>
      <c r="BL30" s="458"/>
      <c r="BM30" s="459"/>
      <c r="BO30" s="446">
        <v>80</v>
      </c>
      <c r="BP30" s="448"/>
      <c r="BS30" s="458"/>
      <c r="BT30" s="459"/>
      <c r="BV30" s="446">
        <v>80</v>
      </c>
      <c r="BW30" s="509"/>
      <c r="BX30" s="510"/>
      <c r="BY30" s="511"/>
    </row>
    <row r="31" spans="2:77" ht="16.5" thickTop="1" thickBot="1">
      <c r="B31" s="354" t="s">
        <v>71</v>
      </c>
      <c r="C31" s="356"/>
      <c r="D31" s="383"/>
      <c r="E31" s="383"/>
      <c r="F31" s="375"/>
      <c r="G31" s="376"/>
      <c r="H31" s="203"/>
      <c r="I31" s="204"/>
      <c r="J31" s="198"/>
      <c r="K31" s="198"/>
      <c r="L31" s="198"/>
      <c r="M31" s="198"/>
      <c r="N31" s="198"/>
      <c r="O31" s="371" t="s">
        <v>101</v>
      </c>
      <c r="P31" s="372"/>
      <c r="Q31" s="373"/>
      <c r="R31" s="200"/>
      <c r="S31" s="202"/>
      <c r="T31" s="198"/>
      <c r="U31" s="239" t="s">
        <v>61</v>
      </c>
      <c r="V31" s="240"/>
      <c r="W31" s="240"/>
      <c r="X31" s="241"/>
      <c r="Y31" s="242" t="s">
        <v>896</v>
      </c>
      <c r="Z31" s="498"/>
      <c r="AA31" s="242"/>
      <c r="AB31" s="244"/>
      <c r="AE31" s="56"/>
      <c r="AF31" s="267"/>
      <c r="AG31" s="267"/>
      <c r="AH31" s="268"/>
      <c r="AI31" s="266"/>
      <c r="AJ31" s="267"/>
      <c r="AK31" s="267"/>
      <c r="AL31" s="268"/>
      <c r="AM31" s="475"/>
      <c r="AN31" s="476"/>
      <c r="AP31" s="477"/>
      <c r="AQ31" s="267"/>
      <c r="AR31" s="267"/>
      <c r="AS31" s="268"/>
      <c r="AT31" s="47"/>
      <c r="AU31" s="217"/>
      <c r="AX31" s="304"/>
      <c r="AY31" s="353"/>
      <c r="AZ31" s="426"/>
      <c r="BA31" s="426"/>
      <c r="BB31" s="426"/>
      <c r="BC31" s="352"/>
      <c r="BD31" s="305"/>
      <c r="BE31" s="306"/>
      <c r="BG31" s="436"/>
      <c r="BH31" s="426"/>
      <c r="BI31" s="434"/>
      <c r="BL31" s="460"/>
      <c r="BM31" s="461"/>
      <c r="BO31" s="447"/>
      <c r="BP31" s="449"/>
      <c r="BS31" s="460"/>
      <c r="BT31" s="461"/>
      <c r="BV31" s="447"/>
      <c r="BW31" s="512"/>
      <c r="BX31" s="513"/>
      <c r="BY31" s="514"/>
    </row>
    <row r="32" spans="2:77" ht="16.5" thickTop="1" thickBot="1">
      <c r="B32" s="357" t="s">
        <v>72</v>
      </c>
      <c r="C32" s="399"/>
      <c r="D32" s="384"/>
      <c r="E32" s="384"/>
      <c r="F32" s="397"/>
      <c r="G32" s="398"/>
      <c r="H32" s="203"/>
      <c r="I32" s="363" t="s">
        <v>79</v>
      </c>
      <c r="J32" s="365"/>
      <c r="K32" s="365"/>
      <c r="L32" s="365"/>
      <c r="M32" s="366"/>
      <c r="N32" s="198"/>
      <c r="O32" s="371" t="s">
        <v>102</v>
      </c>
      <c r="P32" s="372"/>
      <c r="Q32" s="373"/>
      <c r="R32" s="200"/>
      <c r="S32" s="202"/>
      <c r="T32" s="198"/>
      <c r="U32" s="239" t="s">
        <v>62</v>
      </c>
      <c r="V32" s="240"/>
      <c r="W32" s="240"/>
      <c r="X32" s="241"/>
      <c r="Y32" s="242" t="s">
        <v>896</v>
      </c>
      <c r="Z32" s="243"/>
      <c r="AA32" s="243"/>
      <c r="AB32" s="244"/>
      <c r="AP32" s="478"/>
      <c r="AQ32" s="479"/>
      <c r="AR32" s="479"/>
      <c r="AS32" s="480"/>
      <c r="AT32" s="47"/>
      <c r="AU32" s="217"/>
      <c r="AX32" s="424"/>
      <c r="AY32" s="348"/>
      <c r="AZ32" s="425"/>
      <c r="BA32" s="425"/>
      <c r="BB32" s="425"/>
      <c r="BC32" s="346"/>
      <c r="BD32" s="347"/>
      <c r="BE32" s="427"/>
      <c r="BG32" s="22"/>
      <c r="BH32" s="20"/>
      <c r="BI32" s="17"/>
      <c r="BL32" s="458"/>
      <c r="BM32" s="459"/>
      <c r="BO32" s="446">
        <v>90</v>
      </c>
      <c r="BP32" s="448"/>
      <c r="BS32" s="458"/>
      <c r="BT32" s="459"/>
      <c r="BV32" s="446">
        <v>90</v>
      </c>
      <c r="BW32" s="509"/>
      <c r="BX32" s="510"/>
      <c r="BY32" s="511"/>
    </row>
    <row r="33" spans="2:77" ht="16.5" thickTop="1" thickBot="1">
      <c r="B33" s="207"/>
      <c r="C33" s="207"/>
      <c r="D33" s="207"/>
      <c r="E33" s="207"/>
      <c r="F33" s="203"/>
      <c r="G33" s="203"/>
      <c r="H33" s="203"/>
      <c r="I33" s="400" t="s">
        <v>80</v>
      </c>
      <c r="J33" s="401"/>
      <c r="K33" s="401"/>
      <c r="L33" s="201"/>
      <c r="M33" s="202"/>
      <c r="N33" s="198"/>
      <c r="O33" s="374" t="s">
        <v>103</v>
      </c>
      <c r="P33" s="358"/>
      <c r="Q33" s="359"/>
      <c r="R33" s="208"/>
      <c r="S33" s="206"/>
      <c r="T33" s="198"/>
      <c r="U33" s="239" t="s">
        <v>63</v>
      </c>
      <c r="V33" s="240"/>
      <c r="W33" s="240"/>
      <c r="X33" s="241"/>
      <c r="Y33" s="242" t="s">
        <v>896</v>
      </c>
      <c r="Z33" s="243"/>
      <c r="AA33" s="243"/>
      <c r="AB33" s="244"/>
      <c r="AE33" s="226" t="s">
        <v>894</v>
      </c>
      <c r="AF33" s="297"/>
      <c r="AG33" s="297"/>
      <c r="AH33" s="297"/>
      <c r="AI33" s="297"/>
      <c r="AJ33" s="297"/>
      <c r="AK33" s="297"/>
      <c r="AL33" s="297"/>
      <c r="AM33" s="297"/>
      <c r="AN33" s="329"/>
      <c r="AP33" s="310"/>
      <c r="AQ33" s="223"/>
      <c r="AR33" s="223"/>
      <c r="AS33" s="224"/>
      <c r="AT33" s="47"/>
      <c r="AU33" s="217"/>
      <c r="AX33" s="304"/>
      <c r="AY33" s="353"/>
      <c r="AZ33" s="426"/>
      <c r="BA33" s="426"/>
      <c r="BB33" s="426"/>
      <c r="BC33" s="352"/>
      <c r="BD33" s="305"/>
      <c r="BE33" s="306"/>
      <c r="BG33" s="26"/>
      <c r="BH33" s="29"/>
      <c r="BI33" s="28"/>
      <c r="BL33" s="460"/>
      <c r="BM33" s="461"/>
      <c r="BO33" s="447"/>
      <c r="BP33" s="449"/>
      <c r="BS33" s="460"/>
      <c r="BT33" s="461"/>
      <c r="BV33" s="447"/>
      <c r="BW33" s="512"/>
      <c r="BX33" s="513"/>
      <c r="BY33" s="514"/>
    </row>
    <row r="34" spans="2:77" ht="16.5" thickTop="1" thickBot="1">
      <c r="B34" s="363" t="s">
        <v>118</v>
      </c>
      <c r="C34" s="364"/>
      <c r="D34" s="365"/>
      <c r="E34" s="365"/>
      <c r="F34" s="365"/>
      <c r="G34" s="366"/>
      <c r="H34" s="197"/>
      <c r="I34" s="409" t="s">
        <v>81</v>
      </c>
      <c r="J34" s="410"/>
      <c r="K34" s="410"/>
      <c r="L34" s="205">
        <v>5</v>
      </c>
      <c r="M34" s="206"/>
      <c r="N34" s="198"/>
      <c r="O34" s="203"/>
      <c r="P34" s="203"/>
      <c r="Q34" s="203"/>
      <c r="R34" s="203"/>
      <c r="S34" s="198"/>
      <c r="T34" s="198"/>
      <c r="U34" s="239" t="s">
        <v>64</v>
      </c>
      <c r="V34" s="240"/>
      <c r="W34" s="240"/>
      <c r="X34" s="241"/>
      <c r="Y34" s="242" t="s">
        <v>896</v>
      </c>
      <c r="Z34" s="243"/>
      <c r="AA34" s="243"/>
      <c r="AB34" s="244"/>
      <c r="AE34" s="49" t="s">
        <v>5</v>
      </c>
      <c r="AF34" s="264" t="s">
        <v>127</v>
      </c>
      <c r="AG34" s="250"/>
      <c r="AH34" s="251"/>
      <c r="AI34" s="264" t="s">
        <v>145</v>
      </c>
      <c r="AJ34" s="250"/>
      <c r="AK34" s="250"/>
      <c r="AL34" s="251"/>
      <c r="AM34" s="472" t="s">
        <v>143</v>
      </c>
      <c r="AN34" s="473"/>
      <c r="AP34" s="310"/>
      <c r="AQ34" s="223"/>
      <c r="AR34" s="223"/>
      <c r="AS34" s="224"/>
      <c r="AT34" s="47"/>
      <c r="AU34" s="217"/>
      <c r="AX34" s="424"/>
      <c r="AY34" s="348"/>
      <c r="AZ34" s="425"/>
      <c r="BA34" s="425"/>
      <c r="BB34" s="425"/>
      <c r="BC34" s="346"/>
      <c r="BD34" s="347"/>
      <c r="BE34" s="427"/>
      <c r="BG34" s="26"/>
      <c r="BH34" s="29"/>
      <c r="BI34" s="28"/>
      <c r="BL34" s="458"/>
      <c r="BM34" s="459"/>
      <c r="BO34" s="446">
        <v>100</v>
      </c>
      <c r="BP34" s="448"/>
      <c r="BS34" s="458"/>
      <c r="BT34" s="459"/>
      <c r="BV34" s="446">
        <v>100</v>
      </c>
      <c r="BW34" s="509"/>
      <c r="BX34" s="510"/>
      <c r="BY34" s="511"/>
    </row>
    <row r="35" spans="2:77" ht="16.5" thickTop="1" thickBot="1">
      <c r="B35" s="354" t="s">
        <v>122</v>
      </c>
      <c r="C35" s="356"/>
      <c r="D35" s="383">
        <v>6</v>
      </c>
      <c r="E35" s="383"/>
      <c r="F35" s="375"/>
      <c r="G35" s="376"/>
      <c r="H35" s="203"/>
      <c r="I35" s="204"/>
      <c r="J35" s="198"/>
      <c r="K35" s="198"/>
      <c r="L35" s="198"/>
      <c r="M35" s="198"/>
      <c r="N35" s="198"/>
      <c r="O35" s="360" t="s">
        <v>104</v>
      </c>
      <c r="P35" s="361"/>
      <c r="Q35" s="361"/>
      <c r="R35" s="361"/>
      <c r="S35" s="362"/>
      <c r="T35" s="198"/>
      <c r="U35" s="236"/>
      <c r="V35" s="237"/>
      <c r="W35" s="237"/>
      <c r="X35" s="237"/>
      <c r="Y35" s="237"/>
      <c r="Z35" s="237"/>
      <c r="AA35" s="237"/>
      <c r="AB35" s="238"/>
      <c r="AE35" s="55"/>
      <c r="AF35" s="423" t="str">
        <f>L21</f>
        <v xml:space="preserve"> </v>
      </c>
      <c r="AG35" s="221"/>
      <c r="AH35" s="222"/>
      <c r="AI35" s="252"/>
      <c r="AJ35" s="253"/>
      <c r="AK35" s="253"/>
      <c r="AL35" s="279"/>
      <c r="AM35" s="413"/>
      <c r="AN35" s="414"/>
      <c r="AP35" s="310"/>
      <c r="AQ35" s="223"/>
      <c r="AR35" s="223"/>
      <c r="AS35" s="224"/>
      <c r="AT35" s="47"/>
      <c r="AU35" s="217"/>
      <c r="AX35" s="439"/>
      <c r="AY35" s="440"/>
      <c r="AZ35" s="441"/>
      <c r="BA35" s="441"/>
      <c r="BB35" s="441"/>
      <c r="BC35" s="442"/>
      <c r="BD35" s="225"/>
      <c r="BE35" s="443"/>
      <c r="BG35" s="27"/>
      <c r="BH35" s="30"/>
      <c r="BI35" s="19"/>
      <c r="BL35" s="460"/>
      <c r="BM35" s="461"/>
      <c r="BO35" s="447"/>
      <c r="BP35" s="449"/>
      <c r="BS35" s="460"/>
      <c r="BT35" s="461"/>
      <c r="BV35" s="447"/>
      <c r="BW35" s="512"/>
      <c r="BX35" s="513"/>
      <c r="BY35" s="514"/>
    </row>
    <row r="36" spans="2:77" ht="16.5" thickTop="1" thickBot="1">
      <c r="B36" s="371" t="s">
        <v>125</v>
      </c>
      <c r="C36" s="373"/>
      <c r="D36" s="383"/>
      <c r="E36" s="383"/>
      <c r="F36" s="375"/>
      <c r="G36" s="376"/>
      <c r="H36" s="203"/>
      <c r="I36" s="363" t="s">
        <v>82</v>
      </c>
      <c r="J36" s="365"/>
      <c r="K36" s="365"/>
      <c r="L36" s="365"/>
      <c r="M36" s="366"/>
      <c r="N36" s="198"/>
      <c r="O36" s="354" t="s">
        <v>105</v>
      </c>
      <c r="P36" s="355"/>
      <c r="Q36" s="356"/>
      <c r="R36" s="200">
        <v>6</v>
      </c>
      <c r="S36" s="202"/>
      <c r="T36" s="198"/>
      <c r="U36" s="198"/>
      <c r="V36" s="198"/>
      <c r="W36" s="198"/>
      <c r="X36" s="198"/>
      <c r="Y36" s="198"/>
      <c r="Z36" s="198"/>
      <c r="AA36" s="198"/>
      <c r="AB36" s="198"/>
      <c r="AE36" s="55"/>
      <c r="AF36" s="423" t="str">
        <f t="shared" ref="AF36:AF37" si="0">L22</f>
        <v xml:space="preserve"> </v>
      </c>
      <c r="AG36" s="221"/>
      <c r="AH36" s="222"/>
      <c r="AI36" s="252"/>
      <c r="AJ36" s="253"/>
      <c r="AK36" s="253"/>
      <c r="AL36" s="279"/>
      <c r="AM36" s="413"/>
      <c r="AN36" s="414"/>
      <c r="AP36" s="310"/>
      <c r="AQ36" s="223"/>
      <c r="AR36" s="223"/>
      <c r="AS36" s="224"/>
      <c r="AT36" s="47"/>
      <c r="AU36" s="217"/>
      <c r="BL36" s="458"/>
      <c r="BM36" s="459"/>
      <c r="BO36" s="446">
        <v>110</v>
      </c>
      <c r="BP36" s="448"/>
      <c r="BS36" s="458"/>
      <c r="BT36" s="459"/>
      <c r="BV36" s="446">
        <v>110</v>
      </c>
      <c r="BW36" s="509"/>
      <c r="BX36" s="510"/>
      <c r="BY36" s="511"/>
    </row>
    <row r="37" spans="2:77" ht="15.75" thickTop="1">
      <c r="B37" s="354" t="s">
        <v>119</v>
      </c>
      <c r="C37" s="356"/>
      <c r="D37" s="383"/>
      <c r="E37" s="383"/>
      <c r="F37" s="375"/>
      <c r="G37" s="376"/>
      <c r="H37" s="203"/>
      <c r="I37" s="400" t="s">
        <v>83</v>
      </c>
      <c r="J37" s="401"/>
      <c r="K37" s="401"/>
      <c r="L37" s="201"/>
      <c r="M37" s="202"/>
      <c r="N37" s="198"/>
      <c r="O37" s="354" t="s">
        <v>106</v>
      </c>
      <c r="P37" s="355"/>
      <c r="Q37" s="356"/>
      <c r="R37" s="200"/>
      <c r="S37" s="202"/>
      <c r="T37" s="198"/>
      <c r="U37" s="360" t="s">
        <v>126</v>
      </c>
      <c r="V37" s="361"/>
      <c r="W37" s="361"/>
      <c r="X37" s="361"/>
      <c r="Y37" s="361"/>
      <c r="Z37" s="361"/>
      <c r="AA37" s="361"/>
      <c r="AB37" s="362"/>
      <c r="AE37" s="55"/>
      <c r="AF37" s="423" t="str">
        <f t="shared" si="0"/>
        <v xml:space="preserve"> </v>
      </c>
      <c r="AG37" s="221"/>
      <c r="AH37" s="222"/>
      <c r="AI37" s="252"/>
      <c r="AJ37" s="253"/>
      <c r="AK37" s="253"/>
      <c r="AL37" s="279"/>
      <c r="AM37" s="413"/>
      <c r="AN37" s="414"/>
      <c r="AP37" s="310"/>
      <c r="AQ37" s="223"/>
      <c r="AR37" s="223"/>
      <c r="AS37" s="224"/>
      <c r="AT37" s="47"/>
      <c r="AU37" s="217"/>
      <c r="AX37" s="226" t="s">
        <v>157</v>
      </c>
      <c r="AY37" s="297"/>
      <c r="AZ37" s="297"/>
      <c r="BA37" s="297"/>
      <c r="BB37" s="297"/>
      <c r="BC37" s="297"/>
      <c r="BD37" s="297"/>
      <c r="BE37" s="297"/>
      <c r="BF37" s="297"/>
      <c r="BG37" s="297"/>
      <c r="BH37" s="297"/>
      <c r="BI37" s="329"/>
      <c r="BL37" s="460"/>
      <c r="BM37" s="461"/>
      <c r="BO37" s="447"/>
      <c r="BP37" s="449"/>
      <c r="BS37" s="460"/>
      <c r="BT37" s="461"/>
      <c r="BV37" s="447"/>
      <c r="BW37" s="512"/>
      <c r="BX37" s="513"/>
      <c r="BY37" s="514"/>
    </row>
    <row r="38" spans="2:77">
      <c r="B38" s="371" t="s">
        <v>120</v>
      </c>
      <c r="C38" s="373"/>
      <c r="D38" s="383"/>
      <c r="E38" s="383"/>
      <c r="F38" s="375"/>
      <c r="G38" s="376"/>
      <c r="H38" s="203"/>
      <c r="I38" s="400" t="s">
        <v>84</v>
      </c>
      <c r="J38" s="401"/>
      <c r="K38" s="401"/>
      <c r="L38" s="201"/>
      <c r="M38" s="202"/>
      <c r="N38" s="198"/>
      <c r="O38" s="354" t="s">
        <v>107</v>
      </c>
      <c r="P38" s="355"/>
      <c r="Q38" s="356"/>
      <c r="R38" s="200"/>
      <c r="S38" s="202"/>
      <c r="T38" s="198"/>
      <c r="U38" s="239" t="s">
        <v>127</v>
      </c>
      <c r="V38" s="240"/>
      <c r="W38" s="240"/>
      <c r="X38" s="240"/>
      <c r="Y38" s="240"/>
      <c r="Z38" s="209" t="s">
        <v>2</v>
      </c>
      <c r="AA38" s="209" t="s">
        <v>4</v>
      </c>
      <c r="AB38" s="210" t="s">
        <v>3</v>
      </c>
      <c r="AE38" s="55"/>
      <c r="AF38" s="221"/>
      <c r="AG38" s="221"/>
      <c r="AH38" s="222"/>
      <c r="AI38" s="252"/>
      <c r="AJ38" s="253"/>
      <c r="AK38" s="253"/>
      <c r="AL38" s="279"/>
      <c r="AM38" s="413"/>
      <c r="AN38" s="414"/>
      <c r="AP38" s="310"/>
      <c r="AQ38" s="223"/>
      <c r="AR38" s="223"/>
      <c r="AS38" s="224"/>
      <c r="AT38" s="47"/>
      <c r="AU38" s="217"/>
      <c r="AX38" s="2" t="s">
        <v>127</v>
      </c>
      <c r="AY38" s="58" t="s">
        <v>156</v>
      </c>
      <c r="AZ38" s="444" t="s">
        <v>63</v>
      </c>
      <c r="BA38" s="444"/>
      <c r="BB38" s="444"/>
      <c r="BC38" s="444"/>
      <c r="BD38" s="3" t="s">
        <v>158</v>
      </c>
      <c r="BE38" s="444" t="s">
        <v>159</v>
      </c>
      <c r="BF38" s="444"/>
      <c r="BG38" s="44" t="s">
        <v>151</v>
      </c>
      <c r="BH38" s="444" t="s">
        <v>146</v>
      </c>
      <c r="BI38" s="445"/>
      <c r="BL38" s="458"/>
      <c r="BM38" s="459"/>
      <c r="BO38" s="446">
        <v>120</v>
      </c>
      <c r="BP38" s="448"/>
      <c r="BS38" s="458"/>
      <c r="BT38" s="459"/>
      <c r="BV38" s="446">
        <v>120</v>
      </c>
      <c r="BW38" s="509"/>
      <c r="BX38" s="510"/>
      <c r="BY38" s="511"/>
    </row>
    <row r="39" spans="2:77">
      <c r="B39" s="371" t="s">
        <v>121</v>
      </c>
      <c r="C39" s="373"/>
      <c r="D39" s="383">
        <v>2</v>
      </c>
      <c r="E39" s="383"/>
      <c r="F39" s="375"/>
      <c r="G39" s="376"/>
      <c r="H39" s="198"/>
      <c r="I39" s="400" t="s">
        <v>85</v>
      </c>
      <c r="J39" s="401"/>
      <c r="K39" s="401"/>
      <c r="L39" s="201"/>
      <c r="M39" s="202"/>
      <c r="N39" s="198"/>
      <c r="O39" s="354" t="s">
        <v>108</v>
      </c>
      <c r="P39" s="355"/>
      <c r="Q39" s="356"/>
      <c r="R39" s="200"/>
      <c r="S39" s="202"/>
      <c r="T39" s="198"/>
      <c r="U39" s="381">
        <v>0</v>
      </c>
      <c r="V39" s="382"/>
      <c r="W39" s="382"/>
      <c r="X39" s="382"/>
      <c r="Y39" s="382"/>
      <c r="Z39" s="213">
        <v>0</v>
      </c>
      <c r="AA39" s="201">
        <v>1</v>
      </c>
      <c r="AB39" s="211"/>
      <c r="AE39" s="55"/>
      <c r="AF39" s="221"/>
      <c r="AG39" s="221"/>
      <c r="AH39" s="222"/>
      <c r="AI39" s="252"/>
      <c r="AJ39" s="253"/>
      <c r="AK39" s="253"/>
      <c r="AL39" s="279"/>
      <c r="AM39" s="413"/>
      <c r="AN39" s="414"/>
      <c r="AP39" s="249" t="s">
        <v>147</v>
      </c>
      <c r="AQ39" s="250"/>
      <c r="AR39" s="250"/>
      <c r="AS39" s="250"/>
      <c r="AT39" s="250"/>
      <c r="AU39" s="258"/>
      <c r="AX39" s="437"/>
      <c r="AY39" s="425"/>
      <c r="AZ39" s="346"/>
      <c r="BA39" s="347"/>
      <c r="BB39" s="347"/>
      <c r="BC39" s="348"/>
      <c r="BD39" s="425"/>
      <c r="BE39" s="346"/>
      <c r="BF39" s="348"/>
      <c r="BG39" s="425"/>
      <c r="BH39" s="346"/>
      <c r="BI39" s="427"/>
      <c r="BL39" s="460"/>
      <c r="BM39" s="461"/>
      <c r="BO39" s="447"/>
      <c r="BP39" s="449"/>
      <c r="BS39" s="460"/>
      <c r="BT39" s="461"/>
      <c r="BV39" s="447"/>
      <c r="BW39" s="512"/>
      <c r="BX39" s="513"/>
      <c r="BY39" s="514"/>
    </row>
    <row r="40" spans="2:77">
      <c r="B40" s="371" t="s">
        <v>124</v>
      </c>
      <c r="C40" s="373"/>
      <c r="D40" s="383"/>
      <c r="E40" s="383"/>
      <c r="F40" s="375"/>
      <c r="G40" s="376"/>
      <c r="H40" s="203"/>
      <c r="I40" s="400" t="s">
        <v>86</v>
      </c>
      <c r="J40" s="401"/>
      <c r="K40" s="401"/>
      <c r="L40" s="201"/>
      <c r="M40" s="202"/>
      <c r="N40" s="198"/>
      <c r="O40" s="354" t="s">
        <v>117</v>
      </c>
      <c r="P40" s="355"/>
      <c r="Q40" s="356"/>
      <c r="R40" s="200"/>
      <c r="S40" s="202"/>
      <c r="T40" s="198"/>
      <c r="U40" s="377"/>
      <c r="V40" s="378"/>
      <c r="W40" s="378"/>
      <c r="X40" s="378"/>
      <c r="Y40" s="378"/>
      <c r="Z40" s="201"/>
      <c r="AA40" s="201"/>
      <c r="AB40" s="211"/>
      <c r="AE40" s="55"/>
      <c r="AF40" s="221"/>
      <c r="AG40" s="221"/>
      <c r="AH40" s="222"/>
      <c r="AI40" s="252"/>
      <c r="AJ40" s="253"/>
      <c r="AK40" s="253"/>
      <c r="AL40" s="279"/>
      <c r="AM40" s="413"/>
      <c r="AN40" s="414"/>
      <c r="AP40" s="269" t="s">
        <v>14</v>
      </c>
      <c r="AQ40" s="253"/>
      <c r="AR40" s="253"/>
      <c r="AS40" s="279"/>
      <c r="AT40" s="36"/>
      <c r="AU40" s="34"/>
      <c r="AX40" s="436"/>
      <c r="AY40" s="426"/>
      <c r="AZ40" s="352"/>
      <c r="BA40" s="305"/>
      <c r="BB40" s="305"/>
      <c r="BC40" s="353"/>
      <c r="BD40" s="426"/>
      <c r="BE40" s="352"/>
      <c r="BF40" s="353"/>
      <c r="BG40" s="426"/>
      <c r="BH40" s="352"/>
      <c r="BI40" s="306"/>
      <c r="BL40" s="458"/>
      <c r="BM40" s="459"/>
      <c r="BO40" s="446">
        <v>130</v>
      </c>
      <c r="BP40" s="448"/>
      <c r="BS40" s="458"/>
      <c r="BT40" s="459"/>
      <c r="BV40" s="446">
        <v>130</v>
      </c>
      <c r="BW40" s="509"/>
      <c r="BX40" s="510"/>
      <c r="BY40" s="511"/>
    </row>
    <row r="41" spans="2:77" ht="15" customHeight="1" thickBot="1">
      <c r="B41" s="357" t="s">
        <v>123</v>
      </c>
      <c r="C41" s="399"/>
      <c r="D41" s="384"/>
      <c r="E41" s="384"/>
      <c r="F41" s="397"/>
      <c r="G41" s="398"/>
      <c r="H41" s="203"/>
      <c r="I41" s="411" t="s">
        <v>87</v>
      </c>
      <c r="J41" s="412"/>
      <c r="K41" s="412"/>
      <c r="L41" s="201"/>
      <c r="M41" s="202"/>
      <c r="N41" s="198"/>
      <c r="O41" s="354" t="s">
        <v>109</v>
      </c>
      <c r="P41" s="355"/>
      <c r="Q41" s="356"/>
      <c r="R41" s="200"/>
      <c r="S41" s="202"/>
      <c r="T41" s="198"/>
      <c r="U41" s="377"/>
      <c r="V41" s="378"/>
      <c r="W41" s="378"/>
      <c r="X41" s="378"/>
      <c r="Y41" s="378"/>
      <c r="Z41" s="201"/>
      <c r="AA41" s="201"/>
      <c r="AB41" s="211"/>
      <c r="AE41" s="55"/>
      <c r="AF41" s="221"/>
      <c r="AG41" s="221"/>
      <c r="AH41" s="222"/>
      <c r="AI41" s="252"/>
      <c r="AJ41" s="253"/>
      <c r="AK41" s="253"/>
      <c r="AL41" s="279"/>
      <c r="AM41" s="413"/>
      <c r="AN41" s="414"/>
      <c r="AP41" s="269" t="s">
        <v>6</v>
      </c>
      <c r="AQ41" s="253"/>
      <c r="AR41" s="253"/>
      <c r="AS41" s="279"/>
      <c r="AT41" s="36"/>
      <c r="AU41" s="34"/>
      <c r="AX41" s="437"/>
      <c r="AY41" s="425"/>
      <c r="AZ41" s="346"/>
      <c r="BA41" s="347"/>
      <c r="BB41" s="347"/>
      <c r="BC41" s="348"/>
      <c r="BD41" s="425"/>
      <c r="BE41" s="346"/>
      <c r="BF41" s="348"/>
      <c r="BG41" s="425"/>
      <c r="BH41" s="346"/>
      <c r="BI41" s="427"/>
      <c r="BL41" s="460"/>
      <c r="BM41" s="461"/>
      <c r="BO41" s="447"/>
      <c r="BP41" s="449"/>
      <c r="BS41" s="460"/>
      <c r="BT41" s="461"/>
      <c r="BV41" s="447"/>
      <c r="BW41" s="512"/>
      <c r="BX41" s="513"/>
      <c r="BY41" s="514"/>
    </row>
    <row r="42" spans="2:77" ht="16.5" thickTop="1" thickBot="1">
      <c r="B42" s="207"/>
      <c r="C42" s="207"/>
      <c r="D42" s="207"/>
      <c r="E42" s="207"/>
      <c r="F42" s="203"/>
      <c r="G42" s="203"/>
      <c r="H42" s="203"/>
      <c r="I42" s="411" t="s">
        <v>88</v>
      </c>
      <c r="J42" s="412"/>
      <c r="K42" s="412"/>
      <c r="L42" s="201"/>
      <c r="M42" s="202"/>
      <c r="N42" s="198"/>
      <c r="O42" s="354" t="s">
        <v>110</v>
      </c>
      <c r="P42" s="355"/>
      <c r="Q42" s="356"/>
      <c r="R42" s="200"/>
      <c r="S42" s="202"/>
      <c r="T42" s="198"/>
      <c r="U42" s="377"/>
      <c r="V42" s="378"/>
      <c r="W42" s="378"/>
      <c r="X42" s="378"/>
      <c r="Y42" s="378"/>
      <c r="Z42" s="201"/>
      <c r="AA42" s="201"/>
      <c r="AB42" s="211"/>
      <c r="AE42" s="55"/>
      <c r="AF42" s="221"/>
      <c r="AG42" s="221"/>
      <c r="AH42" s="222"/>
      <c r="AI42" s="252"/>
      <c r="AJ42" s="253"/>
      <c r="AK42" s="253"/>
      <c r="AL42" s="279"/>
      <c r="AM42" s="413"/>
      <c r="AN42" s="414"/>
      <c r="AP42" s="269" t="s">
        <v>7</v>
      </c>
      <c r="AQ42" s="253"/>
      <c r="AR42" s="253"/>
      <c r="AS42" s="279"/>
      <c r="AT42" s="36"/>
      <c r="AU42" s="34"/>
      <c r="AX42" s="436"/>
      <c r="AY42" s="426"/>
      <c r="AZ42" s="352"/>
      <c r="BA42" s="305"/>
      <c r="BB42" s="305"/>
      <c r="BC42" s="353"/>
      <c r="BD42" s="426"/>
      <c r="BE42" s="352"/>
      <c r="BF42" s="353"/>
      <c r="BG42" s="426"/>
      <c r="BH42" s="352"/>
      <c r="BI42" s="306"/>
      <c r="BL42" s="458"/>
      <c r="BM42" s="459"/>
      <c r="BO42" s="446">
        <v>140</v>
      </c>
      <c r="BP42" s="448"/>
      <c r="BS42" s="458"/>
      <c r="BT42" s="459"/>
      <c r="BV42" s="446">
        <v>140</v>
      </c>
      <c r="BW42" s="509"/>
      <c r="BX42" s="510"/>
      <c r="BY42" s="511"/>
    </row>
    <row r="43" spans="2:77" ht="15" customHeight="1" thickTop="1">
      <c r="B43" s="363" t="s">
        <v>93</v>
      </c>
      <c r="C43" s="364"/>
      <c r="D43" s="365"/>
      <c r="E43" s="365"/>
      <c r="F43" s="365"/>
      <c r="G43" s="366"/>
      <c r="H43" s="197"/>
      <c r="I43" s="400" t="s">
        <v>89</v>
      </c>
      <c r="J43" s="401"/>
      <c r="K43" s="401"/>
      <c r="L43" s="201"/>
      <c r="M43" s="202"/>
      <c r="N43" s="198"/>
      <c r="O43" s="354" t="s">
        <v>111</v>
      </c>
      <c r="P43" s="355"/>
      <c r="Q43" s="356"/>
      <c r="R43" s="200"/>
      <c r="S43" s="202"/>
      <c r="T43" s="198"/>
      <c r="U43" s="377"/>
      <c r="V43" s="378"/>
      <c r="W43" s="378"/>
      <c r="X43" s="378"/>
      <c r="Y43" s="378"/>
      <c r="Z43" s="201"/>
      <c r="AA43" s="201"/>
      <c r="AB43" s="211"/>
      <c r="AE43" s="55"/>
      <c r="AF43" s="221"/>
      <c r="AG43" s="221"/>
      <c r="AH43" s="222"/>
      <c r="AI43" s="252"/>
      <c r="AJ43" s="253"/>
      <c r="AK43" s="253"/>
      <c r="AL43" s="279"/>
      <c r="AM43" s="413"/>
      <c r="AN43" s="414"/>
      <c r="AP43" s="269" t="s">
        <v>8</v>
      </c>
      <c r="AQ43" s="253"/>
      <c r="AR43" s="253"/>
      <c r="AS43" s="279"/>
      <c r="AT43" s="36"/>
      <c r="AU43" s="34"/>
      <c r="AX43" s="437"/>
      <c r="AY43" s="425"/>
      <c r="AZ43" s="346"/>
      <c r="BA43" s="347"/>
      <c r="BB43" s="347"/>
      <c r="BC43" s="348"/>
      <c r="BD43" s="425"/>
      <c r="BE43" s="346"/>
      <c r="BF43" s="348"/>
      <c r="BG43" s="425"/>
      <c r="BH43" s="346"/>
      <c r="BI43" s="427"/>
      <c r="BL43" s="460"/>
      <c r="BM43" s="461"/>
      <c r="BO43" s="447"/>
      <c r="BP43" s="449"/>
      <c r="BS43" s="460"/>
      <c r="BT43" s="461"/>
      <c r="BV43" s="447"/>
      <c r="BW43" s="512"/>
      <c r="BX43" s="513"/>
      <c r="BY43" s="514"/>
    </row>
    <row r="44" spans="2:77">
      <c r="B44" s="381"/>
      <c r="C44" s="382"/>
      <c r="D44" s="394"/>
      <c r="E44" s="367"/>
      <c r="F44" s="367"/>
      <c r="G44" s="368"/>
      <c r="H44" s="203"/>
      <c r="I44" s="400" t="s">
        <v>90</v>
      </c>
      <c r="J44" s="401"/>
      <c r="K44" s="401"/>
      <c r="L44" s="201"/>
      <c r="M44" s="202"/>
      <c r="N44" s="198"/>
      <c r="O44" s="354" t="s">
        <v>112</v>
      </c>
      <c r="P44" s="355"/>
      <c r="Q44" s="356"/>
      <c r="R44" s="200"/>
      <c r="S44" s="202"/>
      <c r="T44" s="198"/>
      <c r="U44" s="377"/>
      <c r="V44" s="378"/>
      <c r="W44" s="378"/>
      <c r="X44" s="378"/>
      <c r="Y44" s="378"/>
      <c r="Z44" s="201"/>
      <c r="AA44" s="201"/>
      <c r="AB44" s="211"/>
      <c r="AE44" s="55"/>
      <c r="AF44" s="221"/>
      <c r="AG44" s="221"/>
      <c r="AH44" s="222"/>
      <c r="AI44" s="252"/>
      <c r="AJ44" s="253"/>
      <c r="AK44" s="253"/>
      <c r="AL44" s="279"/>
      <c r="AM44" s="413"/>
      <c r="AN44" s="414"/>
      <c r="AP44" s="269" t="s">
        <v>9</v>
      </c>
      <c r="AQ44" s="253"/>
      <c r="AR44" s="253"/>
      <c r="AS44" s="279"/>
      <c r="AT44" s="36"/>
      <c r="AU44" s="34"/>
      <c r="AX44" s="436"/>
      <c r="AY44" s="426"/>
      <c r="AZ44" s="352"/>
      <c r="BA44" s="305"/>
      <c r="BB44" s="305"/>
      <c r="BC44" s="353"/>
      <c r="BD44" s="426"/>
      <c r="BE44" s="352"/>
      <c r="BF44" s="353"/>
      <c r="BG44" s="426"/>
      <c r="BH44" s="352"/>
      <c r="BI44" s="306"/>
      <c r="BL44" s="458"/>
      <c r="BM44" s="459"/>
      <c r="BO44" s="446">
        <v>150</v>
      </c>
      <c r="BP44" s="448"/>
      <c r="BS44" s="458"/>
      <c r="BT44" s="459"/>
      <c r="BV44" s="446">
        <v>150</v>
      </c>
      <c r="BW44" s="509"/>
      <c r="BX44" s="510"/>
      <c r="BY44" s="511"/>
    </row>
    <row r="45" spans="2:77">
      <c r="B45" s="381"/>
      <c r="C45" s="382"/>
      <c r="D45" s="394"/>
      <c r="E45" s="367"/>
      <c r="F45" s="367"/>
      <c r="G45" s="368"/>
      <c r="H45" s="203"/>
      <c r="I45" s="400" t="s">
        <v>91</v>
      </c>
      <c r="J45" s="401"/>
      <c r="K45" s="401"/>
      <c r="L45" s="201"/>
      <c r="M45" s="202"/>
      <c r="N45" s="198"/>
      <c r="O45" s="371" t="s">
        <v>113</v>
      </c>
      <c r="P45" s="355"/>
      <c r="Q45" s="356"/>
      <c r="R45" s="200"/>
      <c r="S45" s="202"/>
      <c r="T45" s="198"/>
      <c r="U45" s="377"/>
      <c r="V45" s="378"/>
      <c r="W45" s="378"/>
      <c r="X45" s="378"/>
      <c r="Y45" s="378"/>
      <c r="Z45" s="201"/>
      <c r="AA45" s="201"/>
      <c r="AB45" s="211"/>
      <c r="AE45" s="55"/>
      <c r="AF45" s="221"/>
      <c r="AG45" s="221"/>
      <c r="AH45" s="222"/>
      <c r="AI45" s="265"/>
      <c r="AJ45" s="223"/>
      <c r="AK45" s="223"/>
      <c r="AL45" s="224"/>
      <c r="AM45" s="413"/>
      <c r="AN45" s="414"/>
      <c r="AP45" s="269" t="s">
        <v>10</v>
      </c>
      <c r="AQ45" s="253"/>
      <c r="AR45" s="253"/>
      <c r="AS45" s="279"/>
      <c r="AT45" s="36"/>
      <c r="AU45" s="34"/>
      <c r="AX45" s="437"/>
      <c r="AY45" s="425"/>
      <c r="AZ45" s="346"/>
      <c r="BA45" s="347"/>
      <c r="BB45" s="347"/>
      <c r="BC45" s="348"/>
      <c r="BD45" s="425"/>
      <c r="BE45" s="346"/>
      <c r="BF45" s="348"/>
      <c r="BG45" s="425"/>
      <c r="BH45" s="346"/>
      <c r="BI45" s="427"/>
      <c r="BL45" s="460"/>
      <c r="BM45" s="461"/>
      <c r="BO45" s="447"/>
      <c r="BP45" s="449"/>
      <c r="BS45" s="460"/>
      <c r="BT45" s="461"/>
      <c r="BV45" s="447"/>
      <c r="BW45" s="512"/>
      <c r="BX45" s="513"/>
      <c r="BY45" s="514"/>
    </row>
    <row r="46" spans="2:77" ht="15.75" thickBot="1">
      <c r="B46" s="381"/>
      <c r="C46" s="382"/>
      <c r="D46" s="394"/>
      <c r="E46" s="367"/>
      <c r="F46" s="367"/>
      <c r="G46" s="368"/>
      <c r="H46" s="203"/>
      <c r="I46" s="409" t="s">
        <v>92</v>
      </c>
      <c r="J46" s="410"/>
      <c r="K46" s="410"/>
      <c r="L46" s="205"/>
      <c r="M46" s="206"/>
      <c r="N46" s="198"/>
      <c r="O46" s="354" t="s">
        <v>114</v>
      </c>
      <c r="P46" s="355"/>
      <c r="Q46" s="356"/>
      <c r="R46" s="200"/>
      <c r="S46" s="202"/>
      <c r="T46" s="198"/>
      <c r="U46" s="377"/>
      <c r="V46" s="378"/>
      <c r="W46" s="378"/>
      <c r="X46" s="378"/>
      <c r="Y46" s="378"/>
      <c r="Z46" s="201"/>
      <c r="AA46" s="201"/>
      <c r="AB46" s="211"/>
      <c r="AE46" s="55"/>
      <c r="AF46" s="221"/>
      <c r="AG46" s="221"/>
      <c r="AH46" s="222"/>
      <c r="AI46" s="265"/>
      <c r="AJ46" s="223"/>
      <c r="AK46" s="223"/>
      <c r="AL46" s="224"/>
      <c r="AM46" s="413"/>
      <c r="AN46" s="414"/>
      <c r="AP46" s="269" t="s">
        <v>11</v>
      </c>
      <c r="AQ46" s="253"/>
      <c r="AR46" s="253"/>
      <c r="AS46" s="279"/>
      <c r="AT46" s="36"/>
      <c r="AU46" s="34"/>
      <c r="AX46" s="436"/>
      <c r="AY46" s="426"/>
      <c r="AZ46" s="352"/>
      <c r="BA46" s="305"/>
      <c r="BB46" s="305"/>
      <c r="BC46" s="353"/>
      <c r="BD46" s="426"/>
      <c r="BE46" s="352"/>
      <c r="BF46" s="353"/>
      <c r="BG46" s="426"/>
      <c r="BH46" s="352"/>
      <c r="BI46" s="306"/>
      <c r="BL46" s="458"/>
      <c r="BM46" s="459"/>
      <c r="BO46" s="446">
        <v>160</v>
      </c>
      <c r="BP46" s="448"/>
      <c r="BS46" s="458"/>
      <c r="BT46" s="459"/>
      <c r="BV46" s="446">
        <v>160</v>
      </c>
      <c r="BW46" s="509"/>
      <c r="BX46" s="510"/>
      <c r="BY46" s="511"/>
    </row>
    <row r="47" spans="2:77" ht="16.5" thickTop="1" thickBot="1">
      <c r="B47" s="381"/>
      <c r="C47" s="382"/>
      <c r="D47" s="394"/>
      <c r="E47" s="367"/>
      <c r="F47" s="367"/>
      <c r="G47" s="368"/>
      <c r="H47" s="203"/>
      <c r="I47" s="198"/>
      <c r="J47" s="198"/>
      <c r="K47" s="198"/>
      <c r="L47" s="198"/>
      <c r="M47" s="198"/>
      <c r="N47" s="198"/>
      <c r="O47" s="354" t="s">
        <v>115</v>
      </c>
      <c r="P47" s="355"/>
      <c r="Q47" s="356"/>
      <c r="R47" s="200"/>
      <c r="S47" s="202"/>
      <c r="T47" s="198"/>
      <c r="U47" s="377"/>
      <c r="V47" s="378"/>
      <c r="W47" s="378"/>
      <c r="X47" s="378"/>
      <c r="Y47" s="378"/>
      <c r="Z47" s="201"/>
      <c r="AA47" s="201"/>
      <c r="AB47" s="211"/>
      <c r="AE47" s="55"/>
      <c r="AF47" s="221"/>
      <c r="AG47" s="221"/>
      <c r="AH47" s="222"/>
      <c r="AI47" s="265"/>
      <c r="AJ47" s="223"/>
      <c r="AK47" s="223"/>
      <c r="AL47" s="224"/>
      <c r="AM47" s="413"/>
      <c r="AN47" s="414"/>
      <c r="AP47" s="269" t="s">
        <v>12</v>
      </c>
      <c r="AQ47" s="253"/>
      <c r="AR47" s="253"/>
      <c r="AS47" s="279"/>
      <c r="AT47" s="36"/>
      <c r="AU47" s="34"/>
      <c r="AX47" s="437"/>
      <c r="AY47" s="425"/>
      <c r="AZ47" s="346"/>
      <c r="BA47" s="347"/>
      <c r="BB47" s="347"/>
      <c r="BC47" s="348"/>
      <c r="BD47" s="425"/>
      <c r="BE47" s="346"/>
      <c r="BF47" s="348"/>
      <c r="BG47" s="425"/>
      <c r="BH47" s="346"/>
      <c r="BI47" s="427"/>
      <c r="BL47" s="462"/>
      <c r="BM47" s="463"/>
      <c r="BO47" s="447"/>
      <c r="BP47" s="449"/>
      <c r="BS47" s="462"/>
      <c r="BT47" s="463"/>
      <c r="BV47" s="447"/>
      <c r="BW47" s="515"/>
      <c r="BX47" s="516"/>
      <c r="BY47" s="517"/>
    </row>
    <row r="48" spans="2:77" ht="16.5" customHeight="1" thickTop="1" thickBot="1">
      <c r="B48" s="404"/>
      <c r="C48" s="405"/>
      <c r="D48" s="406"/>
      <c r="E48" s="369"/>
      <c r="F48" s="369"/>
      <c r="G48" s="370"/>
      <c r="H48" s="203"/>
      <c r="I48" s="416" t="s">
        <v>94</v>
      </c>
      <c r="J48" s="417"/>
      <c r="K48" s="418"/>
      <c r="L48" s="419"/>
      <c r="M48" s="420"/>
      <c r="N48" s="198"/>
      <c r="O48" s="357" t="s">
        <v>116</v>
      </c>
      <c r="P48" s="358"/>
      <c r="Q48" s="359"/>
      <c r="R48" s="208">
        <v>9</v>
      </c>
      <c r="S48" s="206"/>
      <c r="T48" s="198"/>
      <c r="U48" s="379"/>
      <c r="V48" s="380"/>
      <c r="W48" s="380"/>
      <c r="X48" s="380"/>
      <c r="Y48" s="380"/>
      <c r="Z48" s="205"/>
      <c r="AA48" s="205"/>
      <c r="AB48" s="212"/>
      <c r="AE48" s="56"/>
      <c r="AF48" s="421"/>
      <c r="AG48" s="421"/>
      <c r="AH48" s="422"/>
      <c r="AI48" s="266"/>
      <c r="AJ48" s="267"/>
      <c r="AK48" s="267"/>
      <c r="AL48" s="268"/>
      <c r="AM48" s="475"/>
      <c r="AN48" s="476"/>
      <c r="AP48" s="294" t="s">
        <v>13</v>
      </c>
      <c r="AQ48" s="295"/>
      <c r="AR48" s="295"/>
      <c r="AS48" s="415"/>
      <c r="AT48" s="37"/>
      <c r="AU48" s="32"/>
      <c r="AX48" s="438"/>
      <c r="AY48" s="441"/>
      <c r="AZ48" s="442"/>
      <c r="BA48" s="225"/>
      <c r="BB48" s="225"/>
      <c r="BC48" s="440"/>
      <c r="BD48" s="441"/>
      <c r="BE48" s="442"/>
      <c r="BF48" s="440"/>
      <c r="BG48" s="441"/>
      <c r="BH48" s="442"/>
      <c r="BI48" s="443"/>
      <c r="BL48" s="8"/>
      <c r="BM48" s="8"/>
      <c r="BO48" s="8"/>
      <c r="BP48" s="8"/>
      <c r="BS48" s="39"/>
      <c r="BT48" s="39"/>
      <c r="BV48" s="39"/>
      <c r="BW48" s="39"/>
      <c r="BX48" s="39"/>
      <c r="BY48" s="39"/>
    </row>
    <row r="49" spans="9:13" ht="15.75" thickTop="1">
      <c r="I49" s="41"/>
      <c r="J49" s="41"/>
      <c r="K49" s="40"/>
      <c r="L49" s="40"/>
      <c r="M49" s="40"/>
    </row>
  </sheetData>
  <mergeCells count="695">
    <mergeCell ref="BW16:BY17"/>
    <mergeCell ref="BW18:BY19"/>
    <mergeCell ref="BW20:BY21"/>
    <mergeCell ref="BW22:BY23"/>
    <mergeCell ref="BW24:BY25"/>
    <mergeCell ref="BW26:BY27"/>
    <mergeCell ref="BW28:BY29"/>
    <mergeCell ref="BW30:BY31"/>
    <mergeCell ref="BW32:BY33"/>
    <mergeCell ref="AK2:AM2"/>
    <mergeCell ref="AK3:AM3"/>
    <mergeCell ref="AK4:AM4"/>
    <mergeCell ref="AK5:AM5"/>
    <mergeCell ref="AK6:AM6"/>
    <mergeCell ref="BV44:BV45"/>
    <mergeCell ref="BV46:BV47"/>
    <mergeCell ref="BT2:BT3"/>
    <mergeCell ref="BV2:BY2"/>
    <mergeCell ref="BY3:BY4"/>
    <mergeCell ref="BT4:BT5"/>
    <mergeCell ref="BT6:BT7"/>
    <mergeCell ref="BT8:BT9"/>
    <mergeCell ref="BT10:BT11"/>
    <mergeCell ref="BT12:BT13"/>
    <mergeCell ref="BT14:BT15"/>
    <mergeCell ref="BV14:BY14"/>
    <mergeCell ref="BW46:BY47"/>
    <mergeCell ref="BX3:BX4"/>
    <mergeCell ref="BW5:BY6"/>
    <mergeCell ref="BW7:BY8"/>
    <mergeCell ref="BW9:BY10"/>
    <mergeCell ref="BW11:BY12"/>
    <mergeCell ref="BW15:BY15"/>
    <mergeCell ref="BW40:BY41"/>
    <mergeCell ref="BW42:BY43"/>
    <mergeCell ref="BS42:BT43"/>
    <mergeCell ref="BS46:BT47"/>
    <mergeCell ref="BS32:BT33"/>
    <mergeCell ref="BS34:BT35"/>
    <mergeCell ref="BS36:BT37"/>
    <mergeCell ref="BS38:BT39"/>
    <mergeCell ref="BV34:BV35"/>
    <mergeCell ref="BV36:BV37"/>
    <mergeCell ref="BW34:BY35"/>
    <mergeCell ref="BW36:BY37"/>
    <mergeCell ref="BW38:BY39"/>
    <mergeCell ref="BW44:BY45"/>
    <mergeCell ref="BS44:BT45"/>
    <mergeCell ref="BV38:BV39"/>
    <mergeCell ref="BV40:BV41"/>
    <mergeCell ref="BV42:BV43"/>
    <mergeCell ref="BS40:BT41"/>
    <mergeCell ref="BV32:BV33"/>
    <mergeCell ref="BV26:BV27"/>
    <mergeCell ref="BV28:BV29"/>
    <mergeCell ref="BV30:BV31"/>
    <mergeCell ref="BV20:BV21"/>
    <mergeCell ref="BV22:BV23"/>
    <mergeCell ref="BV24:BV25"/>
    <mergeCell ref="BS20:BT21"/>
    <mergeCell ref="BS14:BS15"/>
    <mergeCell ref="BV16:BV17"/>
    <mergeCell ref="BV18:BV19"/>
    <mergeCell ref="BS22:BT23"/>
    <mergeCell ref="BS24:BT25"/>
    <mergeCell ref="BS26:BT27"/>
    <mergeCell ref="BS28:BT29"/>
    <mergeCell ref="BS30:BT31"/>
    <mergeCell ref="BS17:BT17"/>
    <mergeCell ref="BS18:BT19"/>
    <mergeCell ref="BS2:BS3"/>
    <mergeCell ref="BV3:BV4"/>
    <mergeCell ref="BS4:BS5"/>
    <mergeCell ref="BV5:BV6"/>
    <mergeCell ref="BS6:BS7"/>
    <mergeCell ref="BV7:BV8"/>
    <mergeCell ref="BS8:BS9"/>
    <mergeCell ref="BV9:BV10"/>
    <mergeCell ref="BS10:BS11"/>
    <mergeCell ref="BV11:BV12"/>
    <mergeCell ref="BS12:BS13"/>
    <mergeCell ref="BG14:BI14"/>
    <mergeCell ref="BH16:BH19"/>
    <mergeCell ref="BI16:BI19"/>
    <mergeCell ref="BG16:BG19"/>
    <mergeCell ref="BG5:BI5"/>
    <mergeCell ref="BG8:BI8"/>
    <mergeCell ref="BG11:BI11"/>
    <mergeCell ref="BG10:BI10"/>
    <mergeCell ref="BP3:BP4"/>
    <mergeCell ref="BO14:BP14"/>
    <mergeCell ref="BO16:BO17"/>
    <mergeCell ref="BP16:BP17"/>
    <mergeCell ref="BO7:BO8"/>
    <mergeCell ref="BO9:BO10"/>
    <mergeCell ref="BO11:BO12"/>
    <mergeCell ref="BP11:BP12"/>
    <mergeCell ref="BP9:BP10"/>
    <mergeCell ref="BP7:BP8"/>
    <mergeCell ref="BP5:BP6"/>
    <mergeCell ref="BG4:BH4"/>
    <mergeCell ref="BG3:BH3"/>
    <mergeCell ref="BO42:BO43"/>
    <mergeCell ref="BP42:BP43"/>
    <mergeCell ref="BL17:BM17"/>
    <mergeCell ref="BL18:BM19"/>
    <mergeCell ref="BL20:BM21"/>
    <mergeCell ref="BL22:BM23"/>
    <mergeCell ref="BL24:BM25"/>
    <mergeCell ref="BL26:BM27"/>
    <mergeCell ref="BL28:BM29"/>
    <mergeCell ref="BL30:BM31"/>
    <mergeCell ref="BL32:BM33"/>
    <mergeCell ref="BL36:BM37"/>
    <mergeCell ref="BL38:BM39"/>
    <mergeCell ref="BL40:BM41"/>
    <mergeCell ref="BL42:BM43"/>
    <mergeCell ref="BL34:BM35"/>
    <mergeCell ref="BO30:BO31"/>
    <mergeCell ref="BP30:BP31"/>
    <mergeCell ref="BO18:BO19"/>
    <mergeCell ref="BP18:BP19"/>
    <mergeCell ref="BO20:BO21"/>
    <mergeCell ref="BP20:BP21"/>
    <mergeCell ref="BO22:BO23"/>
    <mergeCell ref="BP22:BP23"/>
    <mergeCell ref="U34:X34"/>
    <mergeCell ref="Y34:AB34"/>
    <mergeCell ref="Y33:AB33"/>
    <mergeCell ref="U33:X33"/>
    <mergeCell ref="U21:X21"/>
    <mergeCell ref="Y21:AB21"/>
    <mergeCell ref="U23:X23"/>
    <mergeCell ref="U22:X22"/>
    <mergeCell ref="Y23:AB23"/>
    <mergeCell ref="U29:X29"/>
    <mergeCell ref="U26:AB26"/>
    <mergeCell ref="U28:X28"/>
    <mergeCell ref="Y28:AB28"/>
    <mergeCell ref="Y31:Z31"/>
    <mergeCell ref="AA31:AB31"/>
    <mergeCell ref="AI24:AL24"/>
    <mergeCell ref="AM24:AN24"/>
    <mergeCell ref="AI25:AL25"/>
    <mergeCell ref="AM25:AN25"/>
    <mergeCell ref="AP19:AS19"/>
    <mergeCell ref="Y25:AB25"/>
    <mergeCell ref="U25:X25"/>
    <mergeCell ref="U24:X24"/>
    <mergeCell ref="Y24:AB24"/>
    <mergeCell ref="U19:X19"/>
    <mergeCell ref="Y19:AB19"/>
    <mergeCell ref="U20:X20"/>
    <mergeCell ref="Y20:AB20"/>
    <mergeCell ref="Y22:Z22"/>
    <mergeCell ref="AA22:AB22"/>
    <mergeCell ref="AM23:AN23"/>
    <mergeCell ref="AI29:AL29"/>
    <mergeCell ref="AM29:AN29"/>
    <mergeCell ref="AP29:AS29"/>
    <mergeCell ref="AP22:AS22"/>
    <mergeCell ref="AP23:AS23"/>
    <mergeCell ref="AP24:AS24"/>
    <mergeCell ref="AP25:AS25"/>
    <mergeCell ref="AP12:AR12"/>
    <mergeCell ref="AP13:AR13"/>
    <mergeCell ref="AP14:AR14"/>
    <mergeCell ref="AP15:AR15"/>
    <mergeCell ref="AI18:AL18"/>
    <mergeCell ref="AM18:AN18"/>
    <mergeCell ref="AE17:AN17"/>
    <mergeCell ref="AF18:AH18"/>
    <mergeCell ref="AI19:AL19"/>
    <mergeCell ref="AM19:AN19"/>
    <mergeCell ref="AI20:AL20"/>
    <mergeCell ref="AM20:AN20"/>
    <mergeCell ref="AI21:AL21"/>
    <mergeCell ref="AM21:AN21"/>
    <mergeCell ref="AF19:AH19"/>
    <mergeCell ref="AF20:AH20"/>
    <mergeCell ref="AF21:AH21"/>
    <mergeCell ref="AI31:AL31"/>
    <mergeCell ref="AM31:AN31"/>
    <mergeCell ref="AP31:AS31"/>
    <mergeCell ref="AP32:AS32"/>
    <mergeCell ref="AF31:AH31"/>
    <mergeCell ref="AF34:AH34"/>
    <mergeCell ref="AF35:AH35"/>
    <mergeCell ref="AP2:AR2"/>
    <mergeCell ref="AG3:AI3"/>
    <mergeCell ref="AP33:AS33"/>
    <mergeCell ref="AP34:AS34"/>
    <mergeCell ref="AM26:AN26"/>
    <mergeCell ref="AP20:AS20"/>
    <mergeCell ref="AI27:AL27"/>
    <mergeCell ref="AM27:AN27"/>
    <mergeCell ref="AP21:AS21"/>
    <mergeCell ref="AI28:AL28"/>
    <mergeCell ref="AM28:AN28"/>
    <mergeCell ref="AP28:AS28"/>
    <mergeCell ref="AP4:AR4"/>
    <mergeCell ref="AS4:AU4"/>
    <mergeCell ref="AS5:AU5"/>
    <mergeCell ref="AE8:AU8"/>
    <mergeCell ref="AP11:AR11"/>
    <mergeCell ref="AM48:AN48"/>
    <mergeCell ref="AP47:AS47"/>
    <mergeCell ref="AI35:AL35"/>
    <mergeCell ref="AM35:AN35"/>
    <mergeCell ref="AP35:AS35"/>
    <mergeCell ref="AI44:AL44"/>
    <mergeCell ref="AM44:AN44"/>
    <mergeCell ref="AP44:AS44"/>
    <mergeCell ref="AI45:AL45"/>
    <mergeCell ref="AM45:AN45"/>
    <mergeCell ref="AP45:AS45"/>
    <mergeCell ref="AI46:AL46"/>
    <mergeCell ref="AM46:AN46"/>
    <mergeCell ref="AP46:AS46"/>
    <mergeCell ref="AI41:AL41"/>
    <mergeCell ref="AM41:AN41"/>
    <mergeCell ref="AP41:AS41"/>
    <mergeCell ref="AI42:AL42"/>
    <mergeCell ref="AM42:AN42"/>
    <mergeCell ref="AP42:AS42"/>
    <mergeCell ref="AI37:AL37"/>
    <mergeCell ref="AM37:AN37"/>
    <mergeCell ref="AP37:AS37"/>
    <mergeCell ref="AI38:AL38"/>
    <mergeCell ref="AS6:AT6"/>
    <mergeCell ref="AI36:AL36"/>
    <mergeCell ref="AM36:AN36"/>
    <mergeCell ref="AP36:AS36"/>
    <mergeCell ref="AE5:AI5"/>
    <mergeCell ref="AE6:AI6"/>
    <mergeCell ref="AP5:AR5"/>
    <mergeCell ref="AP6:AR6"/>
    <mergeCell ref="AI26:AL26"/>
    <mergeCell ref="AP26:AS26"/>
    <mergeCell ref="AP27:AS27"/>
    <mergeCell ref="AE33:AN33"/>
    <mergeCell ref="AP17:AU17"/>
    <mergeCell ref="AI34:AL34"/>
    <mergeCell ref="AM34:AN34"/>
    <mergeCell ref="AP18:AS18"/>
    <mergeCell ref="AI30:AL30"/>
    <mergeCell ref="AM30:AN30"/>
    <mergeCell ref="AP30:AS30"/>
    <mergeCell ref="AP9:AR9"/>
    <mergeCell ref="AP10:AR10"/>
    <mergeCell ref="AI22:AL22"/>
    <mergeCell ref="AM22:AN22"/>
    <mergeCell ref="AI23:AL23"/>
    <mergeCell ref="AP3:AR3"/>
    <mergeCell ref="AS2:AU2"/>
    <mergeCell ref="AS3:AU3"/>
    <mergeCell ref="AG2:AI2"/>
    <mergeCell ref="BL44:BM45"/>
    <mergeCell ref="BL46:BM47"/>
    <mergeCell ref="BO46:BO47"/>
    <mergeCell ref="BP46:BP47"/>
    <mergeCell ref="BO38:BO39"/>
    <mergeCell ref="BP38:BP39"/>
    <mergeCell ref="BO40:BO41"/>
    <mergeCell ref="BP40:BP41"/>
    <mergeCell ref="BO44:BO45"/>
    <mergeCell ref="BP44:BP45"/>
    <mergeCell ref="BO32:BO33"/>
    <mergeCell ref="BP32:BP33"/>
    <mergeCell ref="BO34:BO35"/>
    <mergeCell ref="BP34:BP35"/>
    <mergeCell ref="BO36:BO37"/>
    <mergeCell ref="BP36:BP37"/>
    <mergeCell ref="BO26:BO27"/>
    <mergeCell ref="BP26:BP27"/>
    <mergeCell ref="BO28:BO29"/>
    <mergeCell ref="BP28:BP29"/>
    <mergeCell ref="BO24:BO25"/>
    <mergeCell ref="BP24:BP25"/>
    <mergeCell ref="BO2:BP2"/>
    <mergeCell ref="BL14:BL15"/>
    <mergeCell ref="BM2:BM3"/>
    <mergeCell ref="BM4:BM5"/>
    <mergeCell ref="BM6:BM7"/>
    <mergeCell ref="BM8:BM9"/>
    <mergeCell ref="BM10:BM11"/>
    <mergeCell ref="BM12:BM13"/>
    <mergeCell ref="BM14:BM15"/>
    <mergeCell ref="BL2:BL3"/>
    <mergeCell ref="BL4:BL5"/>
    <mergeCell ref="BL6:BL7"/>
    <mergeCell ref="BL8:BL9"/>
    <mergeCell ref="BL10:BL11"/>
    <mergeCell ref="BL12:BL13"/>
    <mergeCell ref="BO3:BO4"/>
    <mergeCell ref="BO5:BO6"/>
    <mergeCell ref="AZ47:BC48"/>
    <mergeCell ref="BD47:BD48"/>
    <mergeCell ref="BE47:BF48"/>
    <mergeCell ref="BG47:BG48"/>
    <mergeCell ref="BH47:BI48"/>
    <mergeCell ref="AY45:AY46"/>
    <mergeCell ref="AZ45:BC46"/>
    <mergeCell ref="BD45:BD46"/>
    <mergeCell ref="BE45:BF46"/>
    <mergeCell ref="BG45:BG46"/>
    <mergeCell ref="BH45:BI46"/>
    <mergeCell ref="AY47:AY48"/>
    <mergeCell ref="AZ43:BC44"/>
    <mergeCell ref="BD43:BD44"/>
    <mergeCell ref="BE43:BF44"/>
    <mergeCell ref="BG43:BG44"/>
    <mergeCell ref="BH43:BI44"/>
    <mergeCell ref="BH39:BI40"/>
    <mergeCell ref="AZ41:BC42"/>
    <mergeCell ref="BD41:BD42"/>
    <mergeCell ref="BE41:BF42"/>
    <mergeCell ref="BG41:BG42"/>
    <mergeCell ref="BH41:BI42"/>
    <mergeCell ref="AZ39:BC40"/>
    <mergeCell ref="BD39:BD40"/>
    <mergeCell ref="BE39:BF40"/>
    <mergeCell ref="AZ32:AZ33"/>
    <mergeCell ref="AX39:AX40"/>
    <mergeCell ref="AX41:AX42"/>
    <mergeCell ref="AX43:AX44"/>
    <mergeCell ref="AX45:AX46"/>
    <mergeCell ref="AX47:AX48"/>
    <mergeCell ref="BG7:BI7"/>
    <mergeCell ref="BG6:BI6"/>
    <mergeCell ref="BG9:BI9"/>
    <mergeCell ref="BG39:BG40"/>
    <mergeCell ref="BA32:BA33"/>
    <mergeCell ref="BB32:BB33"/>
    <mergeCell ref="BC32:BE33"/>
    <mergeCell ref="AX34:AY35"/>
    <mergeCell ref="AZ34:AZ35"/>
    <mergeCell ref="BA34:BA35"/>
    <mergeCell ref="BB34:BB35"/>
    <mergeCell ref="BC34:BE35"/>
    <mergeCell ref="AZ28:AZ29"/>
    <mergeCell ref="BH38:BI38"/>
    <mergeCell ref="BE38:BF38"/>
    <mergeCell ref="AZ38:BC38"/>
    <mergeCell ref="AX37:BI37"/>
    <mergeCell ref="BG28:BG31"/>
    <mergeCell ref="BH20:BH23"/>
    <mergeCell ref="BI20:BI23"/>
    <mergeCell ref="BH24:BH27"/>
    <mergeCell ref="BI24:BI27"/>
    <mergeCell ref="BH28:BH31"/>
    <mergeCell ref="BI28:BI31"/>
    <mergeCell ref="BG20:BG23"/>
    <mergeCell ref="BG24:BG27"/>
    <mergeCell ref="BA28:BA29"/>
    <mergeCell ref="BB28:BB29"/>
    <mergeCell ref="BC28:BE29"/>
    <mergeCell ref="AZ30:AZ31"/>
    <mergeCell ref="BA30:BA31"/>
    <mergeCell ref="BB30:BB31"/>
    <mergeCell ref="BC30:BE31"/>
    <mergeCell ref="AZ24:AZ25"/>
    <mergeCell ref="BA24:BA25"/>
    <mergeCell ref="BB24:BB25"/>
    <mergeCell ref="BC24:BE25"/>
    <mergeCell ref="AX26:AY27"/>
    <mergeCell ref="AZ26:AZ27"/>
    <mergeCell ref="BA26:BA27"/>
    <mergeCell ref="BB26:BB27"/>
    <mergeCell ref="BC26:BE27"/>
    <mergeCell ref="AZ18:AZ19"/>
    <mergeCell ref="BA18:BA19"/>
    <mergeCell ref="BB18:BB19"/>
    <mergeCell ref="BC18:BE19"/>
    <mergeCell ref="AZ20:AZ21"/>
    <mergeCell ref="BA20:BA21"/>
    <mergeCell ref="BB20:BB21"/>
    <mergeCell ref="BC20:BE21"/>
    <mergeCell ref="AX22:AY23"/>
    <mergeCell ref="AZ22:AZ23"/>
    <mergeCell ref="BA22:BA23"/>
    <mergeCell ref="BB22:BB23"/>
    <mergeCell ref="BC22:BE23"/>
    <mergeCell ref="BA16:BA17"/>
    <mergeCell ref="BB16:BB17"/>
    <mergeCell ref="BC16:BE17"/>
    <mergeCell ref="AZ10:AZ11"/>
    <mergeCell ref="AZ8:AZ9"/>
    <mergeCell ref="BA8:BA9"/>
    <mergeCell ref="BA10:BA11"/>
    <mergeCell ref="AZ12:AZ13"/>
    <mergeCell ref="BA12:BA13"/>
    <mergeCell ref="BB12:BB13"/>
    <mergeCell ref="AZ14:AZ15"/>
    <mergeCell ref="BA14:BA15"/>
    <mergeCell ref="BB14:BB15"/>
    <mergeCell ref="BB8:BB9"/>
    <mergeCell ref="BC8:BE9"/>
    <mergeCell ref="BB10:BB11"/>
    <mergeCell ref="BC10:BE11"/>
    <mergeCell ref="BC12:BE13"/>
    <mergeCell ref="BC14:BE15"/>
    <mergeCell ref="AZ16:AZ17"/>
    <mergeCell ref="AX2:BE2"/>
    <mergeCell ref="AX3:AY3"/>
    <mergeCell ref="BG2:BH2"/>
    <mergeCell ref="AX4:AY5"/>
    <mergeCell ref="AZ4:AZ5"/>
    <mergeCell ref="BA4:BA5"/>
    <mergeCell ref="BB4:BB5"/>
    <mergeCell ref="BC4:BE5"/>
    <mergeCell ref="AX6:AY7"/>
    <mergeCell ref="BC3:BE3"/>
    <mergeCell ref="AZ6:AZ7"/>
    <mergeCell ref="BA6:BA7"/>
    <mergeCell ref="BB6:BB7"/>
    <mergeCell ref="BC6:BE7"/>
    <mergeCell ref="AX12:AY13"/>
    <mergeCell ref="AX8:AY9"/>
    <mergeCell ref="AX10:AY11"/>
    <mergeCell ref="AX18:AY19"/>
    <mergeCell ref="AX14:AY15"/>
    <mergeCell ref="AX28:AY29"/>
    <mergeCell ref="AX30:AY31"/>
    <mergeCell ref="AY43:AY44"/>
    <mergeCell ref="AY39:AY40"/>
    <mergeCell ref="AY41:AY42"/>
    <mergeCell ref="AX32:AY33"/>
    <mergeCell ref="AX24:AY25"/>
    <mergeCell ref="AX16:AY17"/>
    <mergeCell ref="AX20:AY21"/>
    <mergeCell ref="AM38:AN38"/>
    <mergeCell ref="AP38:AS38"/>
    <mergeCell ref="AI39:AL39"/>
    <mergeCell ref="AM39:AN39"/>
    <mergeCell ref="AP39:AU39"/>
    <mergeCell ref="AI40:AL40"/>
    <mergeCell ref="AM40:AN40"/>
    <mergeCell ref="AP40:AS40"/>
    <mergeCell ref="AI43:AL43"/>
    <mergeCell ref="AM43:AN43"/>
    <mergeCell ref="AP43:AS43"/>
    <mergeCell ref="AI47:AL47"/>
    <mergeCell ref="AM47:AN47"/>
    <mergeCell ref="AP48:AS48"/>
    <mergeCell ref="AI48:AL48"/>
    <mergeCell ref="O46:Q46"/>
    <mergeCell ref="I29:K29"/>
    <mergeCell ref="I30:K30"/>
    <mergeCell ref="O43:Q43"/>
    <mergeCell ref="I36:M36"/>
    <mergeCell ref="I33:K33"/>
    <mergeCell ref="I34:K34"/>
    <mergeCell ref="I32:M32"/>
    <mergeCell ref="I48:K48"/>
    <mergeCell ref="L48:M48"/>
    <mergeCell ref="AF46:AH46"/>
    <mergeCell ref="AF47:AH47"/>
    <mergeCell ref="AF48:AH48"/>
    <mergeCell ref="AF36:AH36"/>
    <mergeCell ref="AF37:AH37"/>
    <mergeCell ref="AF38:AH38"/>
    <mergeCell ref="AF39:AH39"/>
    <mergeCell ref="AF40:AH40"/>
    <mergeCell ref="AF41:AH41"/>
    <mergeCell ref="AF42:AH42"/>
    <mergeCell ref="O27:Q27"/>
    <mergeCell ref="O28:Q28"/>
    <mergeCell ref="O29:Q29"/>
    <mergeCell ref="O30:Q30"/>
    <mergeCell ref="O44:Q44"/>
    <mergeCell ref="O45:Q45"/>
    <mergeCell ref="I37:K37"/>
    <mergeCell ref="I43:K43"/>
    <mergeCell ref="I44:K44"/>
    <mergeCell ref="I45:K45"/>
    <mergeCell ref="F39:G39"/>
    <mergeCell ref="F40:G40"/>
    <mergeCell ref="F41:G41"/>
    <mergeCell ref="I46:K46"/>
    <mergeCell ref="I38:K38"/>
    <mergeCell ref="I39:K39"/>
    <mergeCell ref="I40:K40"/>
    <mergeCell ref="I41:K41"/>
    <mergeCell ref="I42:K42"/>
    <mergeCell ref="I25:M25"/>
    <mergeCell ref="I26:K26"/>
    <mergeCell ref="I27:K27"/>
    <mergeCell ref="I28:K28"/>
    <mergeCell ref="B48:D48"/>
    <mergeCell ref="D41:E41"/>
    <mergeCell ref="F35:G35"/>
    <mergeCell ref="F36:G36"/>
    <mergeCell ref="F37:G37"/>
    <mergeCell ref="F38:G38"/>
    <mergeCell ref="B29:C29"/>
    <mergeCell ref="B30:C30"/>
    <mergeCell ref="B31:C31"/>
    <mergeCell ref="B32:C32"/>
    <mergeCell ref="B35:C35"/>
    <mergeCell ref="B36:C36"/>
    <mergeCell ref="B37:C37"/>
    <mergeCell ref="B38:C38"/>
    <mergeCell ref="B39:C39"/>
    <mergeCell ref="F29:G29"/>
    <mergeCell ref="D39:E39"/>
    <mergeCell ref="D40:E40"/>
    <mergeCell ref="B47:D47"/>
    <mergeCell ref="F26:G26"/>
    <mergeCell ref="B46:D46"/>
    <mergeCell ref="B25:G25"/>
    <mergeCell ref="E19:F19"/>
    <mergeCell ref="E20:F20"/>
    <mergeCell ref="C18:D18"/>
    <mergeCell ref="C16:D16"/>
    <mergeCell ref="C17:D17"/>
    <mergeCell ref="E21:F21"/>
    <mergeCell ref="F30:G30"/>
    <mergeCell ref="F31:G31"/>
    <mergeCell ref="F32:G32"/>
    <mergeCell ref="B41:C41"/>
    <mergeCell ref="B44:D44"/>
    <mergeCell ref="B45:D45"/>
    <mergeCell ref="D29:E29"/>
    <mergeCell ref="D30:E30"/>
    <mergeCell ref="B27:C27"/>
    <mergeCell ref="B28:C28"/>
    <mergeCell ref="C19:D19"/>
    <mergeCell ref="C20:D20"/>
    <mergeCell ref="C21:D21"/>
    <mergeCell ref="C22:D22"/>
    <mergeCell ref="D38:E38"/>
    <mergeCell ref="D37:E37"/>
    <mergeCell ref="D2:J2"/>
    <mergeCell ref="D7:J7"/>
    <mergeCell ref="H15:I15"/>
    <mergeCell ref="H16:I16"/>
    <mergeCell ref="H17:I17"/>
    <mergeCell ref="H18:I18"/>
    <mergeCell ref="D4:J4"/>
    <mergeCell ref="D6:J6"/>
    <mergeCell ref="D5:J5"/>
    <mergeCell ref="D8:J8"/>
    <mergeCell ref="D3:J3"/>
    <mergeCell ref="E16:F16"/>
    <mergeCell ref="E17:F17"/>
    <mergeCell ref="E18:F18"/>
    <mergeCell ref="F28:G28"/>
    <mergeCell ref="D26:E26"/>
    <mergeCell ref="D27:E27"/>
    <mergeCell ref="D28:E28"/>
    <mergeCell ref="B26:C26"/>
    <mergeCell ref="D31:E31"/>
    <mergeCell ref="D32:E32"/>
    <mergeCell ref="D35:E35"/>
    <mergeCell ref="D36:E36"/>
    <mergeCell ref="U46:Y46"/>
    <mergeCell ref="U47:Y47"/>
    <mergeCell ref="U48:Y48"/>
    <mergeCell ref="U44:Y44"/>
    <mergeCell ref="U45:Y45"/>
    <mergeCell ref="U37:AB37"/>
    <mergeCell ref="U38:Y38"/>
    <mergeCell ref="U39:Y39"/>
    <mergeCell ref="U40:Y40"/>
    <mergeCell ref="U41:Y41"/>
    <mergeCell ref="U42:Y42"/>
    <mergeCell ref="U43:Y43"/>
    <mergeCell ref="O47:Q47"/>
    <mergeCell ref="O48:Q48"/>
    <mergeCell ref="O25:S25"/>
    <mergeCell ref="O35:S35"/>
    <mergeCell ref="B34:G34"/>
    <mergeCell ref="B43:G43"/>
    <mergeCell ref="E44:G44"/>
    <mergeCell ref="E45:G45"/>
    <mergeCell ref="E46:G46"/>
    <mergeCell ref="E47:G47"/>
    <mergeCell ref="E48:G48"/>
    <mergeCell ref="O31:Q31"/>
    <mergeCell ref="O32:Q32"/>
    <mergeCell ref="O33:Q33"/>
    <mergeCell ref="O36:Q36"/>
    <mergeCell ref="O37:Q37"/>
    <mergeCell ref="O38:Q38"/>
    <mergeCell ref="O39:Q39"/>
    <mergeCell ref="O40:Q40"/>
    <mergeCell ref="O41:Q41"/>
    <mergeCell ref="O42:Q42"/>
    <mergeCell ref="O26:Q26"/>
    <mergeCell ref="B40:C40"/>
    <mergeCell ref="F27:G27"/>
    <mergeCell ref="U2:Y2"/>
    <mergeCell ref="U14:Z14"/>
    <mergeCell ref="Z3:AB4"/>
    <mergeCell ref="P10:S10"/>
    <mergeCell ref="L10:O10"/>
    <mergeCell ref="O14:P14"/>
    <mergeCell ref="X3:Y4"/>
    <mergeCell ref="O15:P15"/>
    <mergeCell ref="U3:W4"/>
    <mergeCell ref="L13:N13"/>
    <mergeCell ref="U11:Z11"/>
    <mergeCell ref="U12:Z12"/>
    <mergeCell ref="U13:Z13"/>
    <mergeCell ref="L12:S12"/>
    <mergeCell ref="U5:W6"/>
    <mergeCell ref="U7:W8"/>
    <mergeCell ref="X5:Y6"/>
    <mergeCell ref="Z5:AB6"/>
    <mergeCell ref="Z7:AB8"/>
    <mergeCell ref="X7:Y8"/>
    <mergeCell ref="L1:S8"/>
    <mergeCell ref="U17:AB17"/>
    <mergeCell ref="Q13:S13"/>
    <mergeCell ref="U10:Z10"/>
    <mergeCell ref="L14:N14"/>
    <mergeCell ref="L15:N15"/>
    <mergeCell ref="L16:N16"/>
    <mergeCell ref="P9:S9"/>
    <mergeCell ref="L9:O9"/>
    <mergeCell ref="O13:P13"/>
    <mergeCell ref="U16:AB16"/>
    <mergeCell ref="U15:AB15"/>
    <mergeCell ref="Q14:S14"/>
    <mergeCell ref="Q15:S15"/>
    <mergeCell ref="L23:S23"/>
    <mergeCell ref="H22:I22"/>
    <mergeCell ref="H23:I23"/>
    <mergeCell ref="H21:I21"/>
    <mergeCell ref="Q19:S19"/>
    <mergeCell ref="O18:P18"/>
    <mergeCell ref="O19:P19"/>
    <mergeCell ref="B3:C3"/>
    <mergeCell ref="B4:C4"/>
    <mergeCell ref="B5:C5"/>
    <mergeCell ref="B6:C6"/>
    <mergeCell ref="B7:C7"/>
    <mergeCell ref="B8:C8"/>
    <mergeCell ref="C15:D15"/>
    <mergeCell ref="B13:J13"/>
    <mergeCell ref="B12:J12"/>
    <mergeCell ref="B11:J11"/>
    <mergeCell ref="E15:F15"/>
    <mergeCell ref="O16:P16"/>
    <mergeCell ref="O17:P17"/>
    <mergeCell ref="Q16:S16"/>
    <mergeCell ref="Q18:S18"/>
    <mergeCell ref="C23:D23"/>
    <mergeCell ref="AE2:AF2"/>
    <mergeCell ref="AE3:AF3"/>
    <mergeCell ref="AF9:AJ9"/>
    <mergeCell ref="AF10:AJ10"/>
    <mergeCell ref="AF11:AJ11"/>
    <mergeCell ref="AF12:AJ12"/>
    <mergeCell ref="AF13:AJ13"/>
    <mergeCell ref="AF14:AJ14"/>
    <mergeCell ref="AF15:AJ15"/>
    <mergeCell ref="AE4:AI4"/>
    <mergeCell ref="B1:C1"/>
    <mergeCell ref="D1:J1"/>
    <mergeCell ref="B2:C2"/>
    <mergeCell ref="B10:C10"/>
    <mergeCell ref="D10:J10"/>
    <mergeCell ref="Z2:AB2"/>
    <mergeCell ref="U35:AB35"/>
    <mergeCell ref="U30:X30"/>
    <mergeCell ref="Y30:AB30"/>
    <mergeCell ref="U32:X32"/>
    <mergeCell ref="Y32:AB32"/>
    <mergeCell ref="U31:X31"/>
    <mergeCell ref="Y29:AB29"/>
    <mergeCell ref="E22:F22"/>
    <mergeCell ref="E23:F23"/>
    <mergeCell ref="L17:N17"/>
    <mergeCell ref="Q17:S17"/>
    <mergeCell ref="L18:N18"/>
    <mergeCell ref="L19:N19"/>
    <mergeCell ref="H19:I19"/>
    <mergeCell ref="H20:I20"/>
    <mergeCell ref="L20:S20"/>
    <mergeCell ref="L21:S21"/>
    <mergeCell ref="L22:S22"/>
    <mergeCell ref="AF45:AH45"/>
    <mergeCell ref="AF22:AH22"/>
    <mergeCell ref="AF23:AH23"/>
    <mergeCell ref="AF24:AH24"/>
    <mergeCell ref="AF25:AH25"/>
    <mergeCell ref="AF26:AH26"/>
    <mergeCell ref="AF27:AH27"/>
    <mergeCell ref="AF28:AH28"/>
    <mergeCell ref="AF29:AH29"/>
    <mergeCell ref="AF30:AH30"/>
    <mergeCell ref="AF43:AH43"/>
    <mergeCell ref="AF44:AH44"/>
  </mergeCells>
  <pageMargins left="0.25" right="0.25" top="0.22916666666666666" bottom="0.22916666666666666" header="0.3" footer="0.3"/>
  <pageSetup orientation="portrait" r:id="rId1"/>
  <headerFooter scaleWithDoc="0" alignWithMargins="0"/>
  <drawing r:id="rId2"/>
  <extLst>
    <ext xmlns:x14="http://schemas.microsoft.com/office/spreadsheetml/2009/9/main" uri="{CCE6A557-97BC-4b89-ADB6-D9C93CAAB3DF}">
      <x14:dataValidations xmlns:xm="http://schemas.microsoft.com/office/excel/2006/main" count="11">
        <x14:dataValidation type="list" allowBlank="1" showInputMessage="1" showErrorMessage="1" xr:uid="{D383440A-F30C-4E21-AAFF-7A6F24C2FA56}">
          <x14:formula1>
            <xm:f>Профессия!$A$1:$A$10</xm:f>
          </x14:formula1>
          <xm:sqref>D8:J8</xm:sqref>
        </x14:dataValidation>
        <x14:dataValidation type="list" allowBlank="1" showInputMessage="1" showErrorMessage="1" xr:uid="{AAB97572-5858-407C-9925-1AA4BFE74D98}">
          <x14:formula1>
            <xm:f>'Раса&amp;Родина'!$A$1:$A$6</xm:f>
          </x14:formula1>
          <xm:sqref>D4:J4</xm:sqref>
        </x14:dataValidation>
        <x14:dataValidation type="list" allowBlank="1" showInputMessage="1" showErrorMessage="1" xr:uid="{CE57FE0F-631B-4CC2-BFFE-283294304179}">
          <x14:formula1>
            <xm:f>'Раса&amp;Родина'!$A$13:$A$15</xm:f>
          </x14:formula1>
          <xm:sqref>D5:J5</xm:sqref>
        </x14:dataValidation>
        <x14:dataValidation type="list" allowBlank="1" showInputMessage="1" showErrorMessage="1" xr:uid="{1936FE6C-14C4-481D-843C-0ED78C1619B4}">
          <x14:formula1>
            <xm:f>'Раса&amp;Родина'!$F$19:$F$42</xm:f>
          </x14:formula1>
          <xm:sqref>D6:J6</xm:sqref>
        </x14:dataValidation>
        <x14:dataValidation type="list" allowBlank="1" showInputMessage="1" showErrorMessage="1" xr:uid="{89F7E43D-8536-43D8-9811-FDB3F6BD1411}">
          <x14:formula1>
            <xm:f>'Внешность и Ценности'!$A$2:$A$12</xm:f>
          </x14:formula1>
          <xm:sqref>BM2:BM3 BT2:BT3</xm:sqref>
        </x14:dataValidation>
        <x14:dataValidation type="list" allowBlank="1" showInputMessage="1" showErrorMessage="1" xr:uid="{45731186-5407-418A-82BE-5AC18EFC19E6}">
          <x14:formula1>
            <xm:f>'Внешность и Ценности'!$B$2:$B$12</xm:f>
          </x14:formula1>
          <xm:sqref>BM4:BM5 BT4:BT5</xm:sqref>
        </x14:dataValidation>
        <x14:dataValidation type="list" allowBlank="1" showInputMessage="1" showErrorMessage="1" xr:uid="{B5A5DCA7-8895-4189-A4CB-5D370598A20C}">
          <x14:formula1>
            <xm:f>'Внешность и Ценности'!$C$2:$C$12</xm:f>
          </x14:formula1>
          <xm:sqref>BM6:BM7 BT6:BT7</xm:sqref>
        </x14:dataValidation>
        <x14:dataValidation type="list" allowBlank="1" showInputMessage="1" showErrorMessage="1" xr:uid="{E47A6570-5F68-4070-9596-4641EFAC6F00}">
          <x14:formula1>
            <xm:f>'Внешность и Ценности'!$D$2:$D$12</xm:f>
          </x14:formula1>
          <xm:sqref>BM8:BM9 BT8:BT9</xm:sqref>
        </x14:dataValidation>
        <x14:dataValidation type="list" allowBlank="1" showInputMessage="1" showErrorMessage="1" xr:uid="{56FCF26A-F6F4-4933-8E00-5DF71B84A066}">
          <x14:formula1>
            <xm:f>'Внешность и Ценности'!$A$14:$A$24</xm:f>
          </x14:formula1>
          <xm:sqref>BM10:BM11 BT10:BT11</xm:sqref>
        </x14:dataValidation>
        <x14:dataValidation type="list" allowBlank="1" showInputMessage="1" showErrorMessage="1" xr:uid="{754ACAAB-65FD-44C7-BE8F-29C8C6D29DAB}">
          <x14:formula1>
            <xm:f>'Внешность и Ценности'!$B$14:$B$24</xm:f>
          </x14:formula1>
          <xm:sqref>BM12:BM13 BT12:BT13</xm:sqref>
        </x14:dataValidation>
        <x14:dataValidation type="list" allowBlank="1" showInputMessage="1" showErrorMessage="1" xr:uid="{15F04534-E849-4781-AA01-056C19B723A2}">
          <x14:formula1>
            <xm:f>'Внешность и Ценности'!$C$14:$C$24</xm:f>
          </x14:formula1>
          <xm:sqref>BM14:BM15 BT14:BT15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7CFFC8-49F3-4070-931A-F4F99B5B0A7E}">
  <sheetPr codeName="Лист13"/>
  <dimension ref="A1"/>
  <sheetViews>
    <sheetView workbookViewId="0"/>
  </sheetViews>
  <sheetFormatPr defaultRowHeight="1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27F582-85A6-4E55-8CB9-89CB03E5CADE}">
  <sheetPr codeName="Лист6">
    <outlinePr summaryBelow="0" summaryRight="0"/>
  </sheetPr>
  <dimension ref="A1:N63"/>
  <sheetViews>
    <sheetView workbookViewId="0">
      <selection activeCell="E5" sqref="E5"/>
    </sheetView>
  </sheetViews>
  <sheetFormatPr defaultColWidth="14.42578125" defaultRowHeight="15" customHeight="1"/>
  <cols>
    <col min="1" max="1" width="28.28515625" style="63" customWidth="1"/>
    <col min="2" max="2" width="20.7109375" style="63" customWidth="1"/>
    <col min="3" max="3" width="22.28515625" style="63" customWidth="1"/>
    <col min="4" max="4" width="20.140625" style="63" customWidth="1"/>
    <col min="5" max="5" width="16.7109375" style="63" customWidth="1"/>
    <col min="6" max="6" width="32.42578125" style="63" customWidth="1"/>
    <col min="7" max="7" width="18.42578125" style="63" customWidth="1"/>
    <col min="8" max="8" width="18.140625" style="63" customWidth="1"/>
    <col min="9" max="9" width="17.140625" style="63" customWidth="1"/>
    <col min="10" max="10" width="33.140625" style="63" customWidth="1"/>
    <col min="11" max="16384" width="14.42578125" style="63"/>
  </cols>
  <sheetData>
    <row r="1" spans="1:14">
      <c r="A1" s="67" t="s">
        <v>237</v>
      </c>
    </row>
    <row r="2" spans="1:14">
      <c r="A2" s="70" t="s">
        <v>238</v>
      </c>
      <c r="B2" s="71"/>
      <c r="C2" s="71"/>
      <c r="E2" s="145" t="s">
        <v>819</v>
      </c>
    </row>
    <row r="3" spans="1:14" ht="23.25">
      <c r="A3" s="72" t="s">
        <v>239</v>
      </c>
      <c r="B3" s="72" t="s">
        <v>198</v>
      </c>
      <c r="C3" s="72" t="s">
        <v>200</v>
      </c>
      <c r="D3" s="72" t="s">
        <v>202</v>
      </c>
      <c r="E3" s="72" t="s">
        <v>240</v>
      </c>
      <c r="F3" s="72" t="s">
        <v>241</v>
      </c>
      <c r="G3" s="72" t="s">
        <v>206</v>
      </c>
      <c r="H3" s="72" t="s">
        <v>212</v>
      </c>
      <c r="I3" s="72" t="s">
        <v>214</v>
      </c>
      <c r="J3" s="72" t="s">
        <v>242</v>
      </c>
    </row>
    <row r="4" spans="1:14" ht="50.25" customHeight="1">
      <c r="A4" s="73" t="s">
        <v>243</v>
      </c>
      <c r="B4" s="73" t="s">
        <v>199</v>
      </c>
      <c r="C4" s="73" t="s">
        <v>201</v>
      </c>
      <c r="D4" s="73" t="s">
        <v>244</v>
      </c>
      <c r="E4" s="73" t="s">
        <v>205</v>
      </c>
      <c r="F4" s="73" t="s">
        <v>211</v>
      </c>
      <c r="G4" s="73" t="s">
        <v>245</v>
      </c>
      <c r="H4" s="73" t="s">
        <v>213</v>
      </c>
      <c r="I4" s="73" t="s">
        <v>246</v>
      </c>
      <c r="J4" s="161" t="s">
        <v>247</v>
      </c>
    </row>
    <row r="5" spans="1:14" ht="18.75">
      <c r="A5" s="74" t="str">
        <f>Профессия!A6</f>
        <v>Воин</v>
      </c>
      <c r="B5" s="74" t="str">
        <f>Профессия!A1</f>
        <v>Бард</v>
      </c>
      <c r="C5" s="74" t="str">
        <f>Профессия!A2</f>
        <v>Ремесленник</v>
      </c>
      <c r="D5" s="147" t="str">
        <f>Профессия!A3</f>
        <v>Преступник</v>
      </c>
      <c r="E5" s="74" t="str">
        <f>Профессия!A4</f>
        <v>Медик</v>
      </c>
      <c r="F5" s="74" t="str">
        <f>Профессия!A7</f>
        <v>Торговец</v>
      </c>
      <c r="G5" s="74" t="str">
        <f>Профессия!A5</f>
        <v>Маг</v>
      </c>
      <c r="H5" s="74" t="str">
        <f>Профессия!A8</f>
        <v>Жрец</v>
      </c>
      <c r="I5" s="74" t="str">
        <f>Профессия!A9</f>
        <v>Ведьмак</v>
      </c>
      <c r="J5" s="162" t="s">
        <v>242</v>
      </c>
    </row>
    <row r="6" spans="1:14" ht="16.5" thickBot="1">
      <c r="A6" s="526" t="s">
        <v>248</v>
      </c>
      <c r="B6" s="527"/>
      <c r="C6" s="527"/>
      <c r="D6" s="527"/>
      <c r="E6" s="527"/>
      <c r="F6" s="527"/>
      <c r="G6" s="527"/>
      <c r="H6" s="527"/>
      <c r="I6" s="528"/>
      <c r="J6" s="163"/>
    </row>
    <row r="7" spans="1:14" ht="15.75" customHeight="1" thickBot="1">
      <c r="A7" s="160" t="s">
        <v>813</v>
      </c>
      <c r="B7" s="168" t="s">
        <v>83</v>
      </c>
      <c r="C7" s="164" t="s">
        <v>768</v>
      </c>
      <c r="D7" s="195" t="s">
        <v>77</v>
      </c>
      <c r="E7" s="182" t="s">
        <v>124</v>
      </c>
      <c r="F7" s="164" t="s">
        <v>83</v>
      </c>
      <c r="G7" s="164" t="s">
        <v>88</v>
      </c>
      <c r="H7" s="182" t="s">
        <v>125</v>
      </c>
      <c r="I7" s="164" t="s">
        <v>105</v>
      </c>
      <c r="J7" s="164" t="s">
        <v>105</v>
      </c>
      <c r="L7" s="63" t="s">
        <v>123</v>
      </c>
    </row>
    <row r="8" spans="1:14" ht="15" customHeight="1" thickBot="1">
      <c r="A8" s="165" t="s">
        <v>96</v>
      </c>
      <c r="B8" s="168" t="s">
        <v>84</v>
      </c>
      <c r="C8" s="164" t="s">
        <v>106</v>
      </c>
      <c r="D8" s="164" t="s">
        <v>249</v>
      </c>
      <c r="E8" s="164" t="s">
        <v>83</v>
      </c>
      <c r="F8" s="182" t="s">
        <v>101</v>
      </c>
      <c r="G8" s="182" t="s">
        <v>120</v>
      </c>
      <c r="H8" s="174" t="s">
        <v>89</v>
      </c>
      <c r="I8" s="164" t="s">
        <v>107</v>
      </c>
      <c r="J8" s="160" t="s">
        <v>818</v>
      </c>
      <c r="L8" s="63" t="s">
        <v>125</v>
      </c>
    </row>
    <row r="9" spans="1:14" ht="17.25" thickBot="1">
      <c r="A9" s="182" t="s">
        <v>97</v>
      </c>
      <c r="B9" s="169" t="s">
        <v>91</v>
      </c>
      <c r="C9" s="164" t="s">
        <v>75</v>
      </c>
      <c r="D9" s="192" t="s">
        <v>113</v>
      </c>
      <c r="E9" s="164" t="s">
        <v>112</v>
      </c>
      <c r="F9" s="164" t="s">
        <v>108</v>
      </c>
      <c r="G9" s="182" t="s">
        <v>125</v>
      </c>
      <c r="H9" s="174" t="s">
        <v>122</v>
      </c>
      <c r="I9" s="182" t="s">
        <v>120</v>
      </c>
      <c r="J9" s="165" t="s">
        <v>96</v>
      </c>
    </row>
    <row r="10" spans="1:14" ht="15.75" customHeight="1" thickBot="1">
      <c r="A10" s="166" t="s">
        <v>98</v>
      </c>
      <c r="B10" s="173" t="s">
        <v>250</v>
      </c>
      <c r="C10" s="168" t="s">
        <v>80</v>
      </c>
      <c r="D10" s="164" t="s">
        <v>816</v>
      </c>
      <c r="E10" s="164" t="s">
        <v>122</v>
      </c>
      <c r="F10" s="173" t="s">
        <v>820</v>
      </c>
      <c r="G10" s="182" t="s">
        <v>121</v>
      </c>
      <c r="H10" s="174" t="s">
        <v>822</v>
      </c>
      <c r="I10" s="164" t="s">
        <v>251</v>
      </c>
      <c r="J10" s="166" t="s">
        <v>97</v>
      </c>
      <c r="L10" s="184" t="s">
        <v>116</v>
      </c>
      <c r="M10" s="185"/>
      <c r="N10" s="186"/>
    </row>
    <row r="11" spans="1:14" ht="15.75" customHeight="1" thickBot="1">
      <c r="A11" s="166" t="s">
        <v>99</v>
      </c>
      <c r="B11" s="170" t="s">
        <v>117</v>
      </c>
      <c r="C11" s="192" t="s">
        <v>113</v>
      </c>
      <c r="D11" s="164" t="s">
        <v>84</v>
      </c>
      <c r="E11" s="164" t="s">
        <v>88</v>
      </c>
      <c r="F11" s="170" t="s">
        <v>117</v>
      </c>
      <c r="G11" s="182" t="s">
        <v>102</v>
      </c>
      <c r="H11" s="183" t="s">
        <v>123</v>
      </c>
      <c r="I11" s="182" t="s">
        <v>97</v>
      </c>
      <c r="J11" s="166" t="s">
        <v>98</v>
      </c>
      <c r="L11" s="180" t="s">
        <v>123</v>
      </c>
      <c r="M11" s="181"/>
    </row>
    <row r="12" spans="1:14" ht="15" customHeight="1" thickTop="1" thickBot="1">
      <c r="A12" s="166" t="s">
        <v>100</v>
      </c>
      <c r="B12" s="170" t="s">
        <v>109</v>
      </c>
      <c r="C12" s="168" t="s">
        <v>251</v>
      </c>
      <c r="D12" s="164" t="s">
        <v>78</v>
      </c>
      <c r="E12" s="187" t="s">
        <v>116</v>
      </c>
      <c r="F12" s="170" t="s">
        <v>109</v>
      </c>
      <c r="G12" s="164" t="s">
        <v>108</v>
      </c>
      <c r="H12" s="174" t="s">
        <v>817</v>
      </c>
      <c r="I12" s="187" t="s">
        <v>116</v>
      </c>
      <c r="J12" s="166" t="s">
        <v>99</v>
      </c>
      <c r="L12" s="178" t="s">
        <v>120</v>
      </c>
      <c r="M12" s="179"/>
    </row>
    <row r="13" spans="1:14" ht="15" customHeight="1" thickTop="1" thickBot="1">
      <c r="A13" s="182" t="s">
        <v>101</v>
      </c>
      <c r="B13" s="171" t="s">
        <v>110</v>
      </c>
      <c r="C13" s="168" t="s">
        <v>108</v>
      </c>
      <c r="D13" s="164" t="s">
        <v>119</v>
      </c>
      <c r="E13" s="164" t="s">
        <v>106</v>
      </c>
      <c r="F13" s="171" t="s">
        <v>110</v>
      </c>
      <c r="G13" s="183" t="s">
        <v>123</v>
      </c>
      <c r="H13" s="174" t="s">
        <v>83</v>
      </c>
      <c r="I13" s="164" t="s">
        <v>103</v>
      </c>
      <c r="J13" s="166" t="s">
        <v>100</v>
      </c>
      <c r="L13" s="178" t="s">
        <v>97</v>
      </c>
      <c r="M13" s="188"/>
      <c r="N13" s="179"/>
    </row>
    <row r="14" spans="1:14" ht="30" thickBot="1">
      <c r="A14" s="182" t="s">
        <v>102</v>
      </c>
      <c r="B14" s="172" t="s">
        <v>88</v>
      </c>
      <c r="C14" s="164" t="s">
        <v>90</v>
      </c>
      <c r="D14" s="182" t="s">
        <v>101</v>
      </c>
      <c r="E14" s="164" t="s">
        <v>107</v>
      </c>
      <c r="F14" s="192" t="s">
        <v>113</v>
      </c>
      <c r="G14" s="164" t="s">
        <v>112</v>
      </c>
      <c r="H14" s="187" t="s">
        <v>116</v>
      </c>
      <c r="I14" s="164" t="s">
        <v>75</v>
      </c>
      <c r="J14" s="167" t="s">
        <v>814</v>
      </c>
      <c r="L14" s="189" t="s">
        <v>113</v>
      </c>
      <c r="M14" s="190"/>
      <c r="N14" s="191"/>
    </row>
    <row r="15" spans="1:14" ht="30" thickTop="1">
      <c r="A15" s="166" t="s">
        <v>103</v>
      </c>
      <c r="B15" s="168" t="s">
        <v>90</v>
      </c>
      <c r="C15" s="174" t="s">
        <v>85</v>
      </c>
      <c r="D15" s="164" t="s">
        <v>75</v>
      </c>
      <c r="E15" s="182" t="s">
        <v>101</v>
      </c>
      <c r="F15" s="164" t="s">
        <v>106</v>
      </c>
      <c r="G15" s="164" t="s">
        <v>92</v>
      </c>
      <c r="H15" s="174" t="s">
        <v>108</v>
      </c>
      <c r="I15" s="164" t="s">
        <v>78</v>
      </c>
      <c r="J15" s="167" t="s">
        <v>815</v>
      </c>
      <c r="L15" s="193" t="s">
        <v>77</v>
      </c>
      <c r="M15" s="194"/>
      <c r="N15" s="194"/>
    </row>
    <row r="16" spans="1:14" ht="16.5">
      <c r="A16" s="166" t="s">
        <v>74</v>
      </c>
      <c r="B16" s="192" t="s">
        <v>113</v>
      </c>
      <c r="C16" s="164" t="s">
        <v>81</v>
      </c>
      <c r="D16" s="164" t="s">
        <v>105</v>
      </c>
      <c r="E16" s="164" t="s">
        <v>251</v>
      </c>
      <c r="F16" s="164" t="s">
        <v>90</v>
      </c>
      <c r="G16" s="164" t="s">
        <v>87</v>
      </c>
      <c r="H16" s="182" t="s">
        <v>120</v>
      </c>
      <c r="I16" s="164" t="s">
        <v>99</v>
      </c>
      <c r="J16" s="166" t="s">
        <v>103</v>
      </c>
      <c r="L16" s="178" t="s">
        <v>101</v>
      </c>
      <c r="M16" s="188"/>
      <c r="N16" s="179"/>
    </row>
    <row r="17" spans="1:14" ht="16.5">
      <c r="A17" s="196" t="s">
        <v>76</v>
      </c>
      <c r="B17" s="168" t="s">
        <v>85</v>
      </c>
      <c r="C17" s="75"/>
      <c r="D17" s="75"/>
      <c r="E17" s="75"/>
      <c r="F17" s="164" t="s">
        <v>88</v>
      </c>
      <c r="G17" s="75"/>
      <c r="H17" s="176"/>
      <c r="I17" s="75"/>
      <c r="J17" s="166" t="s">
        <v>74</v>
      </c>
      <c r="L17" s="178" t="s">
        <v>124</v>
      </c>
      <c r="M17" s="179"/>
    </row>
    <row r="18" spans="1:14" ht="30" thickBot="1">
      <c r="A18" s="187" t="s">
        <v>116</v>
      </c>
      <c r="B18" s="168" t="s">
        <v>92</v>
      </c>
      <c r="C18" s="158"/>
      <c r="D18" s="158"/>
      <c r="E18" s="158"/>
      <c r="F18" s="164" t="s">
        <v>86</v>
      </c>
      <c r="G18" s="158"/>
      <c r="H18" s="177"/>
      <c r="I18" s="158"/>
      <c r="J18" s="175" t="s">
        <v>821</v>
      </c>
      <c r="L18" s="178" t="s">
        <v>121</v>
      </c>
      <c r="M18" s="179"/>
    </row>
    <row r="19" spans="1:14" ht="15.75" customHeight="1" thickTop="1">
      <c r="A19" s="164" t="s">
        <v>122</v>
      </c>
      <c r="B19" s="168" t="s">
        <v>112</v>
      </c>
      <c r="D19"/>
      <c r="E19"/>
      <c r="F19" s="182" t="s">
        <v>124</v>
      </c>
      <c r="G19" s="158"/>
      <c r="H19" s="177"/>
      <c r="I19" s="158"/>
      <c r="J19" s="164" t="s">
        <v>84</v>
      </c>
      <c r="L19" s="178" t="s">
        <v>102</v>
      </c>
      <c r="M19" s="188"/>
      <c r="N19" s="179"/>
    </row>
    <row r="20" spans="1:14">
      <c r="A20" s="164" t="s">
        <v>80</v>
      </c>
      <c r="B20" s="158"/>
      <c r="C20" s="158"/>
      <c r="D20"/>
      <c r="E20"/>
      <c r="F20" s="77" t="s">
        <v>254</v>
      </c>
      <c r="G20" s="158"/>
      <c r="H20" s="177"/>
      <c r="I20" s="158"/>
      <c r="J20" s="164" t="s">
        <v>108</v>
      </c>
    </row>
    <row r="21" spans="1:14">
      <c r="A21" s="164" t="s">
        <v>119</v>
      </c>
      <c r="B21" s="158"/>
      <c r="C21" s="158"/>
      <c r="D21" s="158"/>
      <c r="E21" s="158"/>
      <c r="F21" s="159"/>
      <c r="G21" s="158"/>
      <c r="H21" s="177"/>
      <c r="I21" s="158"/>
      <c r="J21" s="164" t="s">
        <v>87</v>
      </c>
    </row>
    <row r="22" spans="1:14">
      <c r="A22" s="164" t="s">
        <v>252</v>
      </c>
      <c r="B22" s="158"/>
      <c r="C22" s="158"/>
      <c r="D22" s="158"/>
      <c r="E22" s="158"/>
      <c r="F22" s="159"/>
      <c r="G22" s="158"/>
      <c r="H22" s="177"/>
      <c r="I22" s="158"/>
      <c r="J22" s="164" t="s">
        <v>88</v>
      </c>
    </row>
    <row r="23" spans="1:14">
      <c r="A23" s="78" t="s">
        <v>255</v>
      </c>
      <c r="B23" s="78" t="s">
        <v>256</v>
      </c>
      <c r="C23" s="78" t="s">
        <v>256</v>
      </c>
      <c r="D23" s="78" t="s">
        <v>257</v>
      </c>
      <c r="E23" s="78" t="s">
        <v>258</v>
      </c>
      <c r="F23" s="78" t="s">
        <v>259</v>
      </c>
      <c r="G23" s="79" t="s">
        <v>260</v>
      </c>
      <c r="H23" s="79" t="s">
        <v>261</v>
      </c>
      <c r="I23" s="79" t="s">
        <v>262</v>
      </c>
      <c r="J23" s="164" t="s">
        <v>89</v>
      </c>
    </row>
    <row r="24" spans="1:14">
      <c r="J24" s="164" t="s">
        <v>90</v>
      </c>
    </row>
    <row r="25" spans="1:14" ht="75">
      <c r="A25" s="80" t="s">
        <v>263</v>
      </c>
      <c r="B25" s="80" t="s">
        <v>264</v>
      </c>
      <c r="C25" s="80" t="s">
        <v>265</v>
      </c>
      <c r="D25" s="80" t="s">
        <v>266</v>
      </c>
      <c r="E25" s="80" t="s">
        <v>267</v>
      </c>
      <c r="F25" s="80" t="s">
        <v>268</v>
      </c>
      <c r="G25" s="80" t="s">
        <v>269</v>
      </c>
      <c r="H25" s="80" t="s">
        <v>270</v>
      </c>
      <c r="I25" s="80" t="s">
        <v>271</v>
      </c>
      <c r="J25" s="164" t="s">
        <v>253</v>
      </c>
    </row>
    <row r="26" spans="1:14">
      <c r="A26" s="76" t="s">
        <v>273</v>
      </c>
      <c r="B26" s="76" t="s">
        <v>274</v>
      </c>
      <c r="C26" s="76" t="s">
        <v>275</v>
      </c>
      <c r="D26" s="76" t="s">
        <v>276</v>
      </c>
      <c r="E26" s="76" t="s">
        <v>277</v>
      </c>
      <c r="F26" s="76" t="s">
        <v>278</v>
      </c>
      <c r="G26" s="76" t="s">
        <v>279</v>
      </c>
      <c r="H26" s="76" t="s">
        <v>280</v>
      </c>
      <c r="I26" s="76" t="s">
        <v>281</v>
      </c>
      <c r="J26" s="164" t="s">
        <v>112</v>
      </c>
    </row>
    <row r="27" spans="1:14">
      <c r="A27" s="76" t="s">
        <v>282</v>
      </c>
      <c r="B27" s="76" t="s">
        <v>283</v>
      </c>
      <c r="C27" s="76" t="s">
        <v>284</v>
      </c>
      <c r="D27" s="76" t="s">
        <v>285</v>
      </c>
      <c r="E27" s="76" t="s">
        <v>286</v>
      </c>
      <c r="F27" s="76" t="s">
        <v>287</v>
      </c>
      <c r="G27" s="76" t="s">
        <v>288</v>
      </c>
      <c r="H27" s="76" t="s">
        <v>289</v>
      </c>
      <c r="I27" s="76" t="s">
        <v>290</v>
      </c>
      <c r="J27" s="163"/>
    </row>
    <row r="28" spans="1:14">
      <c r="A28" s="76" t="s">
        <v>291</v>
      </c>
      <c r="B28" s="76" t="s">
        <v>292</v>
      </c>
      <c r="C28" s="76" t="s">
        <v>293</v>
      </c>
      <c r="D28" s="76" t="s">
        <v>294</v>
      </c>
      <c r="E28" s="76" t="s">
        <v>295</v>
      </c>
      <c r="F28" s="76" t="s">
        <v>296</v>
      </c>
      <c r="G28" s="76" t="s">
        <v>297</v>
      </c>
      <c r="H28" s="76" t="s">
        <v>281</v>
      </c>
      <c r="I28" s="76" t="s">
        <v>298</v>
      </c>
      <c r="J28" s="158"/>
    </row>
    <row r="29" spans="1:14">
      <c r="A29" s="76" t="s">
        <v>299</v>
      </c>
      <c r="B29" s="76" t="s">
        <v>300</v>
      </c>
      <c r="C29" s="76" t="s">
        <v>301</v>
      </c>
      <c r="D29" s="76" t="s">
        <v>302</v>
      </c>
      <c r="E29" s="76" t="s">
        <v>303</v>
      </c>
      <c r="F29" s="76" t="s">
        <v>304</v>
      </c>
      <c r="G29" s="76" t="s">
        <v>278</v>
      </c>
      <c r="H29" s="76" t="s">
        <v>303</v>
      </c>
      <c r="I29" s="76" t="s">
        <v>305</v>
      </c>
      <c r="J29" s="158"/>
    </row>
    <row r="30" spans="1:14">
      <c r="A30" s="76" t="s">
        <v>306</v>
      </c>
      <c r="B30" s="76" t="s">
        <v>307</v>
      </c>
      <c r="C30" s="76" t="s">
        <v>281</v>
      </c>
      <c r="D30" s="76" t="s">
        <v>308</v>
      </c>
      <c r="E30" s="76" t="s">
        <v>309</v>
      </c>
      <c r="F30" s="76" t="s">
        <v>310</v>
      </c>
      <c r="G30" s="76" t="s">
        <v>311</v>
      </c>
      <c r="H30" s="76" t="s">
        <v>312</v>
      </c>
      <c r="I30" s="76" t="s">
        <v>313</v>
      </c>
      <c r="J30" s="158"/>
    </row>
    <row r="31" spans="1:14">
      <c r="A31" s="76" t="s">
        <v>314</v>
      </c>
      <c r="B31" s="76" t="s">
        <v>315</v>
      </c>
      <c r="C31" s="76" t="s">
        <v>316</v>
      </c>
      <c r="D31" s="76" t="s">
        <v>317</v>
      </c>
      <c r="E31" s="76" t="s">
        <v>318</v>
      </c>
      <c r="F31" s="76" t="s">
        <v>319</v>
      </c>
      <c r="G31" s="76" t="s">
        <v>319</v>
      </c>
      <c r="H31" s="76" t="s">
        <v>320</v>
      </c>
      <c r="I31" s="75"/>
      <c r="J31" s="158"/>
    </row>
    <row r="32" spans="1:14">
      <c r="A32" s="76" t="s">
        <v>321</v>
      </c>
      <c r="B32" s="76" t="s">
        <v>322</v>
      </c>
      <c r="C32" s="76" t="s">
        <v>323</v>
      </c>
      <c r="D32" s="76" t="s">
        <v>324</v>
      </c>
      <c r="E32" s="76" t="s">
        <v>325</v>
      </c>
      <c r="F32" s="75"/>
      <c r="G32" s="76" t="s">
        <v>326</v>
      </c>
      <c r="H32" s="76" t="s">
        <v>326</v>
      </c>
      <c r="I32" s="81" t="s">
        <v>327</v>
      </c>
      <c r="J32" s="158"/>
    </row>
    <row r="33" spans="1:10">
      <c r="A33" s="76" t="s">
        <v>328</v>
      </c>
      <c r="B33" s="76" t="s">
        <v>329</v>
      </c>
      <c r="C33" s="76" t="s">
        <v>330</v>
      </c>
      <c r="D33" s="76" t="s">
        <v>298</v>
      </c>
      <c r="E33" s="76" t="s">
        <v>331</v>
      </c>
      <c r="F33" s="81" t="s">
        <v>327</v>
      </c>
      <c r="G33" s="76" t="s">
        <v>332</v>
      </c>
      <c r="H33" s="76" t="s">
        <v>333</v>
      </c>
      <c r="I33" s="76" t="s">
        <v>334</v>
      </c>
      <c r="J33" s="79" t="s">
        <v>260</v>
      </c>
    </row>
    <row r="34" spans="1:10">
      <c r="A34" s="76" t="s">
        <v>335</v>
      </c>
      <c r="B34" s="76" t="s">
        <v>332</v>
      </c>
      <c r="C34" s="76" t="s">
        <v>336</v>
      </c>
      <c r="D34" s="76" t="s">
        <v>337</v>
      </c>
      <c r="E34" s="76" t="s">
        <v>338</v>
      </c>
      <c r="F34" s="76" t="s">
        <v>339</v>
      </c>
      <c r="G34" s="76" t="s">
        <v>340</v>
      </c>
      <c r="H34" s="76" t="s">
        <v>341</v>
      </c>
      <c r="I34" s="76" t="s">
        <v>342</v>
      </c>
      <c r="J34" s="75"/>
    </row>
    <row r="35" spans="1:10" ht="30">
      <c r="A35" s="76" t="s">
        <v>343</v>
      </c>
      <c r="B35" s="76" t="s">
        <v>344</v>
      </c>
      <c r="C35" s="76" t="s">
        <v>345</v>
      </c>
      <c r="D35" s="76" t="s">
        <v>306</v>
      </c>
      <c r="E35" s="76" t="s">
        <v>319</v>
      </c>
      <c r="F35" s="76" t="s">
        <v>346</v>
      </c>
      <c r="G35" s="76" t="s">
        <v>146</v>
      </c>
      <c r="H35" s="76" t="s">
        <v>347</v>
      </c>
      <c r="I35" s="76" t="s">
        <v>348</v>
      </c>
      <c r="J35" s="80" t="s">
        <v>272</v>
      </c>
    </row>
    <row r="36" spans="1:10">
      <c r="A36" s="75"/>
      <c r="B36" s="75"/>
      <c r="C36" s="75"/>
      <c r="D36" s="75"/>
      <c r="E36" s="75"/>
      <c r="F36" s="76" t="s">
        <v>349</v>
      </c>
      <c r="G36" s="76" t="s">
        <v>350</v>
      </c>
      <c r="H36" s="76" t="s">
        <v>350</v>
      </c>
      <c r="I36" s="76" t="s">
        <v>351</v>
      </c>
      <c r="J36" s="75"/>
    </row>
    <row r="37" spans="1:10">
      <c r="A37" s="75"/>
      <c r="B37" s="75"/>
      <c r="C37" s="75"/>
      <c r="D37" s="75"/>
      <c r="E37" s="75"/>
      <c r="F37" s="76" t="s">
        <v>352</v>
      </c>
      <c r="G37" s="75"/>
      <c r="H37" s="75"/>
      <c r="I37" s="76" t="s">
        <v>353</v>
      </c>
      <c r="J37" s="75"/>
    </row>
    <row r="38" spans="1:10">
      <c r="A38" s="75"/>
      <c r="B38" s="75"/>
      <c r="C38" s="75"/>
      <c r="D38" s="75"/>
      <c r="E38" s="75"/>
      <c r="F38" s="75"/>
      <c r="G38" s="75"/>
      <c r="H38" s="75"/>
      <c r="I38" s="76" t="s">
        <v>354</v>
      </c>
      <c r="J38" s="75"/>
    </row>
    <row r="39" spans="1:10">
      <c r="A39" s="524" t="s">
        <v>355</v>
      </c>
      <c r="B39" s="524"/>
      <c r="C39" s="524"/>
      <c r="D39" s="524"/>
      <c r="E39" s="524"/>
      <c r="F39" s="524"/>
      <c r="G39" s="524"/>
      <c r="H39" s="524"/>
      <c r="I39" s="525"/>
      <c r="J39" s="75"/>
    </row>
    <row r="40" spans="1:10">
      <c r="A40" s="79" t="s">
        <v>356</v>
      </c>
      <c r="B40" s="79" t="s">
        <v>357</v>
      </c>
      <c r="C40" s="79" t="s">
        <v>358</v>
      </c>
      <c r="D40" s="79" t="s">
        <v>359</v>
      </c>
      <c r="E40" s="79" t="s">
        <v>360</v>
      </c>
      <c r="F40" s="79" t="s">
        <v>361</v>
      </c>
      <c r="G40" s="79" t="s">
        <v>362</v>
      </c>
      <c r="H40" s="79" t="s">
        <v>363</v>
      </c>
      <c r="I40" s="79" t="s">
        <v>364</v>
      </c>
      <c r="J40" s="83" t="s">
        <v>365</v>
      </c>
    </row>
    <row r="41" spans="1:10">
      <c r="A41" s="79" t="s">
        <v>366</v>
      </c>
      <c r="B41" s="79" t="s">
        <v>367</v>
      </c>
      <c r="C41" s="79" t="s">
        <v>368</v>
      </c>
      <c r="D41" s="79" t="s">
        <v>369</v>
      </c>
      <c r="E41" s="79" t="s">
        <v>370</v>
      </c>
      <c r="F41" s="79" t="s">
        <v>368</v>
      </c>
      <c r="G41" s="79" t="s">
        <v>371</v>
      </c>
      <c r="H41" s="79" t="s">
        <v>372</v>
      </c>
      <c r="I41" s="79" t="s">
        <v>373</v>
      </c>
      <c r="J41" s="83" t="s">
        <v>374</v>
      </c>
    </row>
    <row r="42" spans="1:10">
      <c r="A42" s="79" t="s">
        <v>375</v>
      </c>
      <c r="B42" s="79" t="s">
        <v>376</v>
      </c>
      <c r="C42" s="79" t="s">
        <v>377</v>
      </c>
      <c r="D42" s="79" t="s">
        <v>378</v>
      </c>
      <c r="E42" s="79" t="s">
        <v>379</v>
      </c>
      <c r="F42" s="79" t="s">
        <v>380</v>
      </c>
      <c r="G42" s="79" t="s">
        <v>381</v>
      </c>
      <c r="H42" s="79" t="s">
        <v>364</v>
      </c>
      <c r="I42" s="79" t="s">
        <v>382</v>
      </c>
      <c r="J42" s="83" t="s">
        <v>383</v>
      </c>
    </row>
    <row r="43" spans="1:10">
      <c r="A43" s="79" t="s">
        <v>382</v>
      </c>
      <c r="B43" s="79" t="s">
        <v>384</v>
      </c>
      <c r="C43" s="79" t="s">
        <v>385</v>
      </c>
      <c r="D43" s="79" t="s">
        <v>386</v>
      </c>
      <c r="E43" s="79" t="s">
        <v>387</v>
      </c>
      <c r="F43" s="79" t="s">
        <v>388</v>
      </c>
      <c r="G43" s="79" t="s">
        <v>361</v>
      </c>
      <c r="H43" s="79" t="s">
        <v>387</v>
      </c>
      <c r="I43" s="79" t="s">
        <v>389</v>
      </c>
      <c r="J43" s="83" t="s">
        <v>390</v>
      </c>
    </row>
    <row r="44" spans="1:10">
      <c r="A44" s="79" t="s">
        <v>391</v>
      </c>
      <c r="B44" s="79" t="s">
        <v>392</v>
      </c>
      <c r="C44" s="79" t="s">
        <v>364</v>
      </c>
      <c r="D44" s="79" t="s">
        <v>393</v>
      </c>
      <c r="E44" s="79" t="s">
        <v>361</v>
      </c>
      <c r="F44" s="79" t="s">
        <v>394</v>
      </c>
      <c r="G44" s="79" t="s">
        <v>376</v>
      </c>
      <c r="H44" s="79" t="s">
        <v>362</v>
      </c>
      <c r="I44" s="79" t="s">
        <v>395</v>
      </c>
      <c r="J44" s="67" t="s">
        <v>396</v>
      </c>
    </row>
    <row r="45" spans="1:10">
      <c r="A45" s="79" t="s">
        <v>397</v>
      </c>
      <c r="B45" s="79" t="s">
        <v>398</v>
      </c>
      <c r="C45" s="79" t="s">
        <v>362</v>
      </c>
      <c r="D45" s="79" t="s">
        <v>399</v>
      </c>
      <c r="E45" s="79" t="s">
        <v>362</v>
      </c>
      <c r="F45" s="79" t="s">
        <v>398</v>
      </c>
      <c r="G45" s="79" t="s">
        <v>398</v>
      </c>
      <c r="H45" s="79" t="s">
        <v>398</v>
      </c>
      <c r="I45" s="84"/>
      <c r="J45" s="83" t="s">
        <v>400</v>
      </c>
    </row>
    <row r="46" spans="1:10">
      <c r="A46" s="79" t="s">
        <v>401</v>
      </c>
      <c r="B46" s="79" t="s">
        <v>402</v>
      </c>
      <c r="C46" s="79" t="s">
        <v>403</v>
      </c>
      <c r="D46" s="79" t="s">
        <v>404</v>
      </c>
      <c r="E46" s="79" t="s">
        <v>405</v>
      </c>
      <c r="F46" s="84"/>
      <c r="G46" s="79" t="s">
        <v>406</v>
      </c>
      <c r="H46" s="79" t="s">
        <v>406</v>
      </c>
      <c r="I46" s="85" t="s">
        <v>327</v>
      </c>
      <c r="J46" s="83" t="s">
        <v>371</v>
      </c>
    </row>
    <row r="47" spans="1:10">
      <c r="A47" s="79" t="s">
        <v>407</v>
      </c>
      <c r="B47" s="79" t="s">
        <v>381</v>
      </c>
      <c r="C47" s="79" t="s">
        <v>408</v>
      </c>
      <c r="D47" s="79" t="s">
        <v>382</v>
      </c>
      <c r="E47" s="79" t="s">
        <v>409</v>
      </c>
      <c r="F47" s="85" t="s">
        <v>327</v>
      </c>
      <c r="G47" s="79" t="s">
        <v>410</v>
      </c>
      <c r="H47" s="79" t="s">
        <v>411</v>
      </c>
      <c r="I47" s="79" t="s">
        <v>412</v>
      </c>
      <c r="J47" s="83" t="s">
        <v>402</v>
      </c>
    </row>
    <row r="48" spans="1:10">
      <c r="A48" s="79" t="s">
        <v>394</v>
      </c>
      <c r="B48" s="79" t="s">
        <v>410</v>
      </c>
      <c r="C48" s="79" t="s">
        <v>413</v>
      </c>
      <c r="D48" s="79" t="s">
        <v>414</v>
      </c>
      <c r="E48" s="79" t="s">
        <v>380</v>
      </c>
      <c r="F48" s="79" t="s">
        <v>415</v>
      </c>
      <c r="G48" s="79" t="s">
        <v>388</v>
      </c>
      <c r="H48" s="79" t="s">
        <v>416</v>
      </c>
      <c r="I48" s="79" t="s">
        <v>417</v>
      </c>
      <c r="J48" s="83" t="s">
        <v>378</v>
      </c>
    </row>
    <row r="49" spans="1:10">
      <c r="A49" s="79" t="s">
        <v>418</v>
      </c>
      <c r="B49" s="79" t="s">
        <v>419</v>
      </c>
      <c r="C49" s="79" t="s">
        <v>420</v>
      </c>
      <c r="D49" s="79" t="s">
        <v>391</v>
      </c>
      <c r="E49" s="79" t="s">
        <v>398</v>
      </c>
      <c r="F49" s="79" t="s">
        <v>421</v>
      </c>
      <c r="G49" s="79" t="s">
        <v>422</v>
      </c>
      <c r="H49" s="79" t="s">
        <v>422</v>
      </c>
      <c r="I49" s="79" t="s">
        <v>423</v>
      </c>
      <c r="J49" s="83" t="s">
        <v>361</v>
      </c>
    </row>
    <row r="50" spans="1:10">
      <c r="A50" s="84"/>
      <c r="B50" s="84"/>
      <c r="C50" s="84"/>
      <c r="D50" s="84"/>
      <c r="E50" s="84"/>
      <c r="F50" s="79" t="s">
        <v>424</v>
      </c>
      <c r="G50" s="79" t="s">
        <v>425</v>
      </c>
      <c r="H50" s="79" t="s">
        <v>425</v>
      </c>
      <c r="I50" s="79" t="s">
        <v>426</v>
      </c>
    </row>
    <row r="51" spans="1:10">
      <c r="A51" s="84"/>
      <c r="B51" s="84"/>
      <c r="C51" s="84"/>
      <c r="D51" s="84"/>
      <c r="E51" s="84"/>
      <c r="F51" s="79" t="s">
        <v>427</v>
      </c>
      <c r="G51" s="84"/>
      <c r="H51" s="84"/>
      <c r="I51" s="79" t="s">
        <v>428</v>
      </c>
    </row>
    <row r="52" spans="1:10">
      <c r="A52" s="84"/>
      <c r="B52" s="84"/>
      <c r="C52" s="84"/>
      <c r="D52" s="84"/>
      <c r="E52" s="84"/>
      <c r="F52" s="84"/>
      <c r="G52" s="84"/>
      <c r="H52" s="84"/>
      <c r="I52" s="79" t="s">
        <v>429</v>
      </c>
    </row>
    <row r="53" spans="1:10">
      <c r="A53" s="84"/>
      <c r="B53" s="84"/>
      <c r="C53" s="84"/>
      <c r="D53" s="84"/>
      <c r="E53" s="84"/>
      <c r="F53" s="84"/>
      <c r="G53" s="84"/>
      <c r="H53" s="84"/>
      <c r="I53" s="84"/>
    </row>
    <row r="58" spans="1:10" ht="15" customHeight="1">
      <c r="A58" s="63" t="s">
        <v>117</v>
      </c>
    </row>
    <row r="59" spans="1:10" ht="15" customHeight="1">
      <c r="A59" s="63" t="s">
        <v>109</v>
      </c>
    </row>
    <row r="60" spans="1:10" ht="15" customHeight="1">
      <c r="A60" s="63" t="s">
        <v>110</v>
      </c>
      <c r="J60" s="82"/>
    </row>
    <row r="61" spans="1:10" ht="15" customHeight="1">
      <c r="J61" s="82"/>
    </row>
    <row r="62" spans="1:10" ht="15" customHeight="1">
      <c r="J62" s="75"/>
    </row>
    <row r="63" spans="1:10" ht="15" customHeight="1">
      <c r="J63" s="75"/>
    </row>
  </sheetData>
  <mergeCells count="2">
    <mergeCell ref="A39:I39"/>
    <mergeCell ref="A6:I6"/>
  </mergeCell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77F5F4-744A-43E9-82E2-D58F7B66F275}">
  <sheetPr codeName="Лист2">
    <outlinePr summaryBelow="0" summaryRight="0"/>
  </sheetPr>
  <dimension ref="A1:B18"/>
  <sheetViews>
    <sheetView workbookViewId="0"/>
  </sheetViews>
  <sheetFormatPr defaultColWidth="14.42578125" defaultRowHeight="15" customHeight="1"/>
  <cols>
    <col min="1" max="1" width="6.42578125" style="63" customWidth="1"/>
    <col min="2" max="2" width="47.28515625" style="63" customWidth="1"/>
    <col min="3" max="16384" width="14.42578125" style="63"/>
  </cols>
  <sheetData>
    <row r="1" spans="1:2">
      <c r="A1" s="61" t="s">
        <v>183</v>
      </c>
      <c r="B1" s="62" t="s">
        <v>184</v>
      </c>
    </row>
    <row r="2" spans="1:2">
      <c r="A2" s="64">
        <v>1</v>
      </c>
      <c r="B2" s="65" t="s">
        <v>185</v>
      </c>
    </row>
    <row r="3" spans="1:2">
      <c r="A3" s="64">
        <v>2</v>
      </c>
      <c r="B3" s="65" t="s">
        <v>186</v>
      </c>
    </row>
    <row r="4" spans="1:2">
      <c r="A4" s="64">
        <v>3</v>
      </c>
      <c r="B4" s="65" t="s">
        <v>187</v>
      </c>
    </row>
    <row r="5" spans="1:2">
      <c r="A5" s="64">
        <v>4</v>
      </c>
      <c r="B5" s="65" t="s">
        <v>188</v>
      </c>
    </row>
    <row r="6" spans="1:2">
      <c r="A6" s="64">
        <v>5</v>
      </c>
      <c r="B6" s="65" t="s">
        <v>189</v>
      </c>
    </row>
    <row r="7" spans="1:2">
      <c r="A7" s="64">
        <v>6</v>
      </c>
      <c r="B7" s="65" t="s">
        <v>190</v>
      </c>
    </row>
    <row r="8" spans="1:2">
      <c r="A8" s="64">
        <v>7</v>
      </c>
      <c r="B8" s="65" t="s">
        <v>191</v>
      </c>
    </row>
    <row r="9" spans="1:2">
      <c r="A9" s="64">
        <v>8</v>
      </c>
      <c r="B9" s="65" t="s">
        <v>192</v>
      </c>
    </row>
    <row r="10" spans="1:2">
      <c r="A10" s="64">
        <v>9</v>
      </c>
      <c r="B10" s="65" t="s">
        <v>193</v>
      </c>
    </row>
    <row r="11" spans="1:2">
      <c r="A11" s="64">
        <v>10</v>
      </c>
      <c r="B11" s="65" t="s">
        <v>194</v>
      </c>
    </row>
    <row r="12" spans="1:2">
      <c r="A12" s="64">
        <v>11</v>
      </c>
      <c r="B12" s="65" t="s">
        <v>195</v>
      </c>
    </row>
    <row r="13" spans="1:2">
      <c r="A13" s="64">
        <v>12</v>
      </c>
      <c r="B13" s="65" t="s">
        <v>196</v>
      </c>
    </row>
    <row r="14" spans="1:2">
      <c r="B14" s="65" t="s">
        <v>197</v>
      </c>
    </row>
    <row r="15" spans="1:2">
      <c r="B15" s="65"/>
    </row>
    <row r="16" spans="1:2">
      <c r="B16" s="65"/>
    </row>
    <row r="17" spans="2:2">
      <c r="B17" s="65"/>
    </row>
    <row r="18" spans="2:2">
      <c r="B18" s="6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CA604-E768-49B0-BD17-56E540D43BE0}">
  <sheetPr codeName="Лист3"/>
  <dimension ref="A1:C1000"/>
  <sheetViews>
    <sheetView workbookViewId="0">
      <selection activeCell="A11" sqref="A11"/>
    </sheetView>
  </sheetViews>
  <sheetFormatPr defaultColWidth="14.42578125" defaultRowHeight="15" customHeight="1"/>
  <cols>
    <col min="1" max="1" width="12.28515625" style="63" customWidth="1"/>
    <col min="2" max="2" width="18.28515625" style="63" customWidth="1"/>
    <col min="3" max="3" width="24.5703125" style="63" customWidth="1"/>
    <col min="4" max="26" width="8.7109375" style="63" customWidth="1"/>
    <col min="27" max="16384" width="14.42578125" style="63"/>
  </cols>
  <sheetData>
    <row r="1" spans="1:3">
      <c r="A1" s="66" t="s">
        <v>198</v>
      </c>
      <c r="B1" s="67" t="s">
        <v>199</v>
      </c>
      <c r="C1" s="149">
        <v>0</v>
      </c>
    </row>
    <row r="2" spans="1:3">
      <c r="A2" s="66" t="s">
        <v>200</v>
      </c>
      <c r="B2" s="67" t="s">
        <v>201</v>
      </c>
      <c r="C2" s="149">
        <v>0</v>
      </c>
    </row>
    <row r="3" spans="1:3">
      <c r="A3" s="66" t="s">
        <v>202</v>
      </c>
      <c r="B3" s="67" t="s">
        <v>203</v>
      </c>
      <c r="C3" s="149">
        <v>0</v>
      </c>
    </row>
    <row r="4" spans="1:3">
      <c r="A4" s="66" t="s">
        <v>204</v>
      </c>
      <c r="B4" s="67" t="s">
        <v>205</v>
      </c>
      <c r="C4" s="149">
        <v>0</v>
      </c>
    </row>
    <row r="5" spans="1:3">
      <c r="A5" s="66" t="s">
        <v>206</v>
      </c>
      <c r="B5" s="67" t="s">
        <v>207</v>
      </c>
      <c r="C5" s="149">
        <v>5</v>
      </c>
    </row>
    <row r="6" spans="1:3">
      <c r="A6" s="66" t="s">
        <v>208</v>
      </c>
      <c r="B6" s="67" t="s">
        <v>209</v>
      </c>
      <c r="C6" s="149">
        <v>0</v>
      </c>
    </row>
    <row r="7" spans="1:3">
      <c r="A7" s="66" t="s">
        <v>210</v>
      </c>
      <c r="B7" s="67" t="s">
        <v>211</v>
      </c>
      <c r="C7" s="149">
        <v>0</v>
      </c>
    </row>
    <row r="8" spans="1:3">
      <c r="A8" s="66" t="s">
        <v>212</v>
      </c>
      <c r="B8" s="67" t="s">
        <v>213</v>
      </c>
      <c r="C8" s="149">
        <v>2</v>
      </c>
    </row>
    <row r="9" spans="1:3">
      <c r="A9" s="66" t="s">
        <v>214</v>
      </c>
      <c r="B9" s="67" t="s">
        <v>215</v>
      </c>
      <c r="C9" s="149">
        <v>2</v>
      </c>
    </row>
    <row r="10" spans="1:3" ht="15" customHeight="1">
      <c r="A10" s="63" t="s">
        <v>898</v>
      </c>
      <c r="C10" s="151" t="s">
        <v>807</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ACD6E-5739-4A8B-97E5-20186B39BAAF}">
  <sheetPr codeName="Лист4"/>
  <dimension ref="A1:M1000"/>
  <sheetViews>
    <sheetView topLeftCell="A18" workbookViewId="0">
      <selection activeCell="F43" sqref="F43"/>
    </sheetView>
  </sheetViews>
  <sheetFormatPr defaultColWidth="14.42578125" defaultRowHeight="15" customHeight="1"/>
  <cols>
    <col min="1" max="1" width="26.140625" style="63" customWidth="1"/>
    <col min="2" max="2" width="8.7109375" style="63" customWidth="1"/>
    <col min="3" max="3" width="4.28515625" style="63" customWidth="1"/>
    <col min="4" max="4" width="3.42578125" style="63" customWidth="1"/>
    <col min="5" max="26" width="8.7109375" style="63" customWidth="1"/>
    <col min="27" max="16384" width="14.42578125" style="63"/>
  </cols>
  <sheetData>
    <row r="1" spans="1:13">
      <c r="A1" s="67" t="s">
        <v>216</v>
      </c>
      <c r="C1" s="67" t="s">
        <v>217</v>
      </c>
      <c r="D1" s="67" t="s">
        <v>218</v>
      </c>
      <c r="E1" s="145" t="s">
        <v>787</v>
      </c>
      <c r="F1" s="145" t="s">
        <v>806</v>
      </c>
      <c r="G1" s="145" t="s">
        <v>802</v>
      </c>
      <c r="H1" s="145" t="s">
        <v>803</v>
      </c>
    </row>
    <row r="2" spans="1:13">
      <c r="A2" s="67" t="s">
        <v>214</v>
      </c>
      <c r="C2" s="67" t="s">
        <v>217</v>
      </c>
      <c r="D2" s="154" t="s">
        <v>219</v>
      </c>
      <c r="E2" s="145" t="s">
        <v>789</v>
      </c>
      <c r="F2" s="145" t="s">
        <v>805</v>
      </c>
      <c r="G2" s="145" t="s">
        <v>804</v>
      </c>
      <c r="H2" s="63" t="s">
        <v>790</v>
      </c>
    </row>
    <row r="3" spans="1:13">
      <c r="A3" s="67" t="s">
        <v>220</v>
      </c>
      <c r="C3" s="67" t="s">
        <v>217</v>
      </c>
      <c r="D3" s="67" t="s">
        <v>221</v>
      </c>
      <c r="E3" s="145" t="s">
        <v>794</v>
      </c>
      <c r="F3" s="145" t="s">
        <v>793</v>
      </c>
      <c r="G3" s="63" t="s">
        <v>791</v>
      </c>
      <c r="H3" s="63" t="s">
        <v>792</v>
      </c>
    </row>
    <row r="4" spans="1:13">
      <c r="A4" s="66" t="s">
        <v>222</v>
      </c>
      <c r="C4" s="67" t="s">
        <v>217</v>
      </c>
      <c r="D4" s="154" t="s">
        <v>223</v>
      </c>
      <c r="E4" s="145" t="s">
        <v>795</v>
      </c>
      <c r="F4" s="63" t="s">
        <v>796</v>
      </c>
      <c r="G4" s="63" t="s">
        <v>797</v>
      </c>
      <c r="H4" s="63" t="s">
        <v>798</v>
      </c>
    </row>
    <row r="5" spans="1:13">
      <c r="A5" s="67" t="s">
        <v>224</v>
      </c>
      <c r="C5" s="67" t="s">
        <v>217</v>
      </c>
      <c r="D5" s="67" t="s">
        <v>225</v>
      </c>
      <c r="E5" s="63" t="s">
        <v>788</v>
      </c>
      <c r="F5" s="63" t="s">
        <v>799</v>
      </c>
      <c r="G5" s="63" t="s">
        <v>800</v>
      </c>
      <c r="H5" s="63" t="s">
        <v>801</v>
      </c>
    </row>
    <row r="6" spans="1:13" ht="15" customHeight="1">
      <c r="A6" s="63" t="s">
        <v>898</v>
      </c>
    </row>
    <row r="9" spans="1:13">
      <c r="B9" s="68"/>
      <c r="C9" s="69" t="s">
        <v>226</v>
      </c>
      <c r="D9" s="68"/>
      <c r="E9" s="68"/>
      <c r="F9" s="68"/>
      <c r="G9" s="68"/>
      <c r="H9" s="68"/>
      <c r="I9" s="68"/>
      <c r="J9" s="68"/>
      <c r="K9" s="68"/>
      <c r="L9" s="68"/>
      <c r="M9" s="68"/>
    </row>
    <row r="10" spans="1:13">
      <c r="B10" s="68"/>
      <c r="C10" s="69" t="s">
        <v>227</v>
      </c>
      <c r="D10" s="68"/>
      <c r="E10" s="68"/>
      <c r="F10" s="68"/>
      <c r="G10" s="68"/>
      <c r="H10" s="68"/>
      <c r="I10" s="68"/>
      <c r="J10" s="68"/>
      <c r="K10" s="68"/>
      <c r="L10" s="68"/>
      <c r="M10" s="68"/>
    </row>
    <row r="11" spans="1:13">
      <c r="B11" s="68"/>
      <c r="C11" s="68"/>
      <c r="D11" s="68"/>
      <c r="E11" s="68"/>
      <c r="F11" s="68"/>
      <c r="G11" s="68"/>
      <c r="H11" s="68"/>
      <c r="I11" s="68"/>
      <c r="J11" s="68"/>
      <c r="K11" s="68"/>
      <c r="L11" s="68"/>
      <c r="M11" s="68"/>
    </row>
    <row r="12" spans="1:13" ht="15" customHeight="1">
      <c r="A12" s="152" t="s">
        <v>18</v>
      </c>
    </row>
    <row r="13" spans="1:13" ht="15" customHeight="1">
      <c r="A13" s="148" t="s">
        <v>734</v>
      </c>
    </row>
    <row r="14" spans="1:13" ht="15" customHeight="1">
      <c r="A14" s="148" t="s">
        <v>735</v>
      </c>
    </row>
    <row r="15" spans="1:13" ht="15" customHeight="1">
      <c r="A15" s="63" t="s">
        <v>898</v>
      </c>
    </row>
    <row r="18" spans="1:6" ht="15" customHeight="1">
      <c r="A18" s="152" t="s">
        <v>784</v>
      </c>
      <c r="B18" s="152" t="s">
        <v>785</v>
      </c>
      <c r="C18" s="529" t="s">
        <v>766</v>
      </c>
      <c r="D18" s="529"/>
      <c r="E18" s="529"/>
      <c r="F18" s="145" t="s">
        <v>786</v>
      </c>
    </row>
    <row r="19" spans="1:6" ht="15" customHeight="1">
      <c r="A19" s="148" t="s">
        <v>757</v>
      </c>
      <c r="B19" s="148" t="s">
        <v>758</v>
      </c>
      <c r="C19" s="149">
        <v>1</v>
      </c>
      <c r="D19" s="150" t="s">
        <v>767</v>
      </c>
      <c r="E19" s="149" t="s">
        <v>108</v>
      </c>
      <c r="F19" s="63" t="str">
        <f>CONCATENATE(A19,":",B19)</f>
        <v>Королества Севера:Редания</v>
      </c>
    </row>
    <row r="20" spans="1:6" ht="15" customHeight="1">
      <c r="A20" s="148" t="s">
        <v>757</v>
      </c>
      <c r="B20" s="148" t="s">
        <v>759</v>
      </c>
      <c r="C20" s="149">
        <v>1</v>
      </c>
      <c r="D20" s="150" t="s">
        <v>767</v>
      </c>
      <c r="E20" s="148" t="s">
        <v>81</v>
      </c>
      <c r="F20" s="63" t="str">
        <f t="shared" ref="F20:F41" si="0">CONCATENATE(A20,":",B20)</f>
        <v>Королества Севера:Каэдвен</v>
      </c>
    </row>
    <row r="21" spans="1:6" ht="15.75" customHeight="1">
      <c r="A21" s="148" t="s">
        <v>757</v>
      </c>
      <c r="B21" s="148" t="s">
        <v>760</v>
      </c>
      <c r="C21" s="149">
        <v>1</v>
      </c>
      <c r="D21" s="150" t="s">
        <v>767</v>
      </c>
      <c r="E21" s="148" t="s">
        <v>83</v>
      </c>
      <c r="F21" s="63" t="str">
        <f t="shared" si="0"/>
        <v>Королества Севера:Темерия</v>
      </c>
    </row>
    <row r="22" spans="1:6" ht="15.75" customHeight="1">
      <c r="A22" s="148" t="s">
        <v>757</v>
      </c>
      <c r="B22" s="148" t="s">
        <v>746</v>
      </c>
      <c r="C22" s="149">
        <v>1</v>
      </c>
      <c r="D22" s="150" t="s">
        <v>767</v>
      </c>
      <c r="E22" s="148" t="s">
        <v>768</v>
      </c>
      <c r="F22" s="63" t="str">
        <f t="shared" si="0"/>
        <v>Королества Севера:Аэдирн</v>
      </c>
    </row>
    <row r="23" spans="1:6" ht="15.75" customHeight="1">
      <c r="A23" s="148" t="s">
        <v>757</v>
      </c>
      <c r="B23" s="148" t="s">
        <v>761</v>
      </c>
      <c r="C23" s="149">
        <v>1</v>
      </c>
      <c r="D23" s="150" t="s">
        <v>767</v>
      </c>
      <c r="E23" s="148" t="s">
        <v>769</v>
      </c>
      <c r="F23" s="63" t="str">
        <f t="shared" si="0"/>
        <v>Королества Севера:Лирия и Ривия</v>
      </c>
    </row>
    <row r="24" spans="1:6" ht="15.75" customHeight="1">
      <c r="A24" s="148" t="s">
        <v>757</v>
      </c>
      <c r="B24" s="148" t="s">
        <v>762</v>
      </c>
      <c r="C24" s="149">
        <v>1</v>
      </c>
      <c r="D24" s="150" t="s">
        <v>767</v>
      </c>
      <c r="E24" s="148" t="s">
        <v>106</v>
      </c>
      <c r="F24" s="63" t="str">
        <f t="shared" si="0"/>
        <v>Королества Севера:Ковир и Повис</v>
      </c>
    </row>
    <row r="25" spans="1:6" ht="15.75" customHeight="1">
      <c r="A25" s="148" t="s">
        <v>757</v>
      </c>
      <c r="B25" s="148" t="s">
        <v>562</v>
      </c>
      <c r="C25" s="149">
        <v>1</v>
      </c>
      <c r="D25" s="150" t="s">
        <v>767</v>
      </c>
      <c r="E25" s="148" t="s">
        <v>122</v>
      </c>
      <c r="F25" s="63" t="str">
        <f t="shared" si="0"/>
        <v>Королества Севера:Скеллиге</v>
      </c>
    </row>
    <row r="26" spans="1:6" ht="15.75" customHeight="1">
      <c r="A26" s="148" t="s">
        <v>757</v>
      </c>
      <c r="B26" s="148" t="s">
        <v>763</v>
      </c>
      <c r="C26" s="149">
        <v>1</v>
      </c>
      <c r="D26" s="150" t="s">
        <v>767</v>
      </c>
      <c r="E26" s="148" t="s">
        <v>100</v>
      </c>
      <c r="F26" s="63" t="str">
        <f t="shared" si="0"/>
        <v>Королества Севера:Цидарис</v>
      </c>
    </row>
    <row r="27" spans="1:6" ht="15.75" customHeight="1">
      <c r="A27" s="148" t="s">
        <v>757</v>
      </c>
      <c r="B27" s="148" t="s">
        <v>764</v>
      </c>
      <c r="C27" s="149">
        <v>1</v>
      </c>
      <c r="D27" s="150" t="s">
        <v>767</v>
      </c>
      <c r="E27" s="149" t="s">
        <v>116</v>
      </c>
      <c r="F27" s="63" t="str">
        <f t="shared" si="0"/>
        <v>Королества Севера:Вердэн</v>
      </c>
    </row>
    <row r="28" spans="1:6" ht="15.75" customHeight="1">
      <c r="A28" s="148" t="s">
        <v>757</v>
      </c>
      <c r="B28" s="148" t="s">
        <v>765</v>
      </c>
      <c r="C28" s="149">
        <v>1</v>
      </c>
      <c r="D28" s="150" t="s">
        <v>767</v>
      </c>
      <c r="E28" s="148" t="s">
        <v>88</v>
      </c>
      <c r="F28" s="63" t="str">
        <f t="shared" si="0"/>
        <v>Королества Севера:Цинтра</v>
      </c>
    </row>
    <row r="29" spans="1:6" ht="15.75" customHeight="1">
      <c r="A29" s="148" t="s">
        <v>770</v>
      </c>
      <c r="B29" s="148" t="s">
        <v>771</v>
      </c>
      <c r="C29" s="149">
        <v>1</v>
      </c>
      <c r="D29" s="150" t="s">
        <v>767</v>
      </c>
      <c r="E29" s="148" t="s">
        <v>772</v>
      </c>
      <c r="F29" s="63" t="str">
        <f t="shared" si="0"/>
        <v>Нильфгард:Сердце Нильфгаарда</v>
      </c>
    </row>
    <row r="30" spans="1:6" ht="15.75" customHeight="1">
      <c r="A30" s="148" t="s">
        <v>770</v>
      </c>
      <c r="B30" s="148" t="s">
        <v>773</v>
      </c>
      <c r="C30" s="149">
        <v>1</v>
      </c>
      <c r="D30" s="150" t="s">
        <v>767</v>
      </c>
      <c r="E30" s="149" t="s">
        <v>108</v>
      </c>
      <c r="F30" s="63" t="str">
        <f t="shared" si="0"/>
        <v>Нильфгард:Виковаро</v>
      </c>
    </row>
    <row r="31" spans="1:6" ht="15.75" customHeight="1">
      <c r="A31" s="148" t="s">
        <v>770</v>
      </c>
      <c r="B31" s="148" t="s">
        <v>774</v>
      </c>
      <c r="C31" s="149">
        <v>1</v>
      </c>
      <c r="D31" s="150" t="s">
        <v>767</v>
      </c>
      <c r="E31" s="149" t="s">
        <v>116</v>
      </c>
      <c r="F31" s="63" t="str">
        <f t="shared" si="0"/>
        <v>Нильфгард:Ангрен</v>
      </c>
    </row>
    <row r="32" spans="1:6" ht="15.75" customHeight="1">
      <c r="A32" s="148" t="s">
        <v>770</v>
      </c>
      <c r="B32" s="148" t="s">
        <v>775</v>
      </c>
      <c r="C32" s="149">
        <v>1</v>
      </c>
      <c r="D32" s="150" t="s">
        <v>767</v>
      </c>
      <c r="E32" s="148" t="s">
        <v>96</v>
      </c>
      <c r="F32" s="63" t="str">
        <f t="shared" si="0"/>
        <v>Нильфгард:Назаир</v>
      </c>
    </row>
    <row r="33" spans="1:6" ht="15.75" customHeight="1">
      <c r="A33" s="148" t="s">
        <v>770</v>
      </c>
      <c r="B33" s="148" t="s">
        <v>776</v>
      </c>
      <c r="C33" s="149">
        <v>1</v>
      </c>
      <c r="D33" s="150" t="s">
        <v>767</v>
      </c>
      <c r="E33" s="148" t="s">
        <v>99</v>
      </c>
      <c r="F33" s="63" t="str">
        <f t="shared" si="0"/>
        <v>Нильфгард:Метинна</v>
      </c>
    </row>
    <row r="34" spans="1:6" ht="15.75" customHeight="1">
      <c r="A34" s="148" t="s">
        <v>770</v>
      </c>
      <c r="B34" s="148" t="s">
        <v>777</v>
      </c>
      <c r="C34" s="149">
        <v>1</v>
      </c>
      <c r="D34" s="150" t="s">
        <v>767</v>
      </c>
      <c r="E34" s="148" t="s">
        <v>81</v>
      </c>
      <c r="F34" s="63" t="str">
        <f t="shared" si="0"/>
        <v>Нильфгард:Маг Турга</v>
      </c>
    </row>
    <row r="35" spans="1:6" ht="15.75" customHeight="1">
      <c r="A35" s="148" t="s">
        <v>770</v>
      </c>
      <c r="B35" s="148" t="s">
        <v>778</v>
      </c>
      <c r="C35" s="149">
        <v>1</v>
      </c>
      <c r="D35" s="150" t="s">
        <v>767</v>
      </c>
      <c r="E35" s="148" t="s">
        <v>78</v>
      </c>
      <c r="F35" s="63" t="str">
        <f t="shared" si="0"/>
        <v>Нильфгард:Гесо</v>
      </c>
    </row>
    <row r="36" spans="1:6" ht="15.75" customHeight="1">
      <c r="A36" s="148" t="s">
        <v>770</v>
      </c>
      <c r="B36" s="148" t="s">
        <v>779</v>
      </c>
      <c r="C36" s="149">
        <v>1</v>
      </c>
      <c r="D36" s="150" t="s">
        <v>767</v>
      </c>
      <c r="E36" s="148" t="s">
        <v>107</v>
      </c>
      <c r="F36" s="63" t="str">
        <f t="shared" si="0"/>
        <v>Нильфгард:Эббинг</v>
      </c>
    </row>
    <row r="37" spans="1:6" ht="15.75" customHeight="1">
      <c r="A37" s="148" t="s">
        <v>770</v>
      </c>
      <c r="B37" s="148" t="s">
        <v>780</v>
      </c>
      <c r="C37" s="149">
        <v>1</v>
      </c>
      <c r="D37" s="150" t="s">
        <v>767</v>
      </c>
      <c r="E37" s="148" t="s">
        <v>83</v>
      </c>
      <c r="F37" s="63" t="str">
        <f t="shared" si="0"/>
        <v>Нильфгард:Мехт</v>
      </c>
    </row>
    <row r="38" spans="1:6" ht="15.75" customHeight="1">
      <c r="A38" s="148" t="s">
        <v>770</v>
      </c>
      <c r="B38" s="148" t="s">
        <v>781</v>
      </c>
      <c r="C38" s="149">
        <v>1</v>
      </c>
      <c r="D38" s="150" t="s">
        <v>767</v>
      </c>
      <c r="E38" s="148" t="s">
        <v>119</v>
      </c>
      <c r="F38" s="63" t="str">
        <f t="shared" si="0"/>
        <v>Нильфгард:Геммера</v>
      </c>
    </row>
    <row r="39" spans="1:6" ht="15.75" customHeight="1">
      <c r="A39" s="148" t="s">
        <v>770</v>
      </c>
      <c r="B39" s="148" t="s">
        <v>782</v>
      </c>
      <c r="C39" s="149">
        <v>1</v>
      </c>
      <c r="D39" s="150" t="s">
        <v>767</v>
      </c>
      <c r="E39" s="148" t="s">
        <v>122</v>
      </c>
      <c r="F39" s="63" t="str">
        <f t="shared" si="0"/>
        <v>Нильфгард:Этолия</v>
      </c>
    </row>
    <row r="40" spans="1:6" ht="15.75" customHeight="1">
      <c r="A40" s="149"/>
      <c r="B40" s="148" t="s">
        <v>783</v>
      </c>
      <c r="C40" s="149">
        <v>1</v>
      </c>
      <c r="D40" s="148" t="s">
        <v>767</v>
      </c>
      <c r="E40" s="148" t="s">
        <v>112</v>
      </c>
      <c r="F40" s="63" t="str">
        <f t="shared" si="0"/>
        <v>:Доль Блатанна</v>
      </c>
    </row>
    <row r="41" spans="1:6" ht="15.75" customHeight="1">
      <c r="A41" s="149"/>
      <c r="B41" s="148" t="s">
        <v>564</v>
      </c>
      <c r="C41" s="149">
        <v>1</v>
      </c>
      <c r="D41" s="148" t="s">
        <v>767</v>
      </c>
      <c r="E41" s="148" t="s">
        <v>768</v>
      </c>
      <c r="F41" s="63" t="str">
        <f t="shared" si="0"/>
        <v>:Махакам</v>
      </c>
    </row>
    <row r="42" spans="1:6" ht="15.75" customHeight="1">
      <c r="F42" s="63" t="s">
        <v>898</v>
      </c>
    </row>
    <row r="43" spans="1:6" ht="15.75" customHeight="1"/>
    <row r="44" spans="1:6" ht="15.75" customHeight="1"/>
    <row r="45" spans="1:6" ht="15.75" customHeight="1"/>
    <row r="46" spans="1:6" ht="15.75" customHeight="1"/>
    <row r="47" spans="1:6" ht="15.75" customHeight="1"/>
    <row r="48" spans="1:6"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1">
    <mergeCell ref="C18:E18"/>
  </mergeCells>
  <pageMargins left="0.7" right="0.7" top="0.75" bottom="0.75"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C21EC-C953-4B31-BA1B-9B1D32ACC89B}">
  <sheetPr codeName="Лист11"/>
  <dimension ref="A3:C22"/>
  <sheetViews>
    <sheetView workbookViewId="0">
      <selection activeCell="A12" sqref="A12"/>
    </sheetView>
  </sheetViews>
  <sheetFormatPr defaultRowHeight="15"/>
  <cols>
    <col min="3" max="3" width="50" customWidth="1"/>
    <col min="4" max="4" width="31.140625" customWidth="1"/>
  </cols>
  <sheetData>
    <row r="3" spans="1:3" ht="26.25">
      <c r="A3" t="s">
        <v>746</v>
      </c>
      <c r="B3" t="s">
        <v>734</v>
      </c>
      <c r="C3" s="146" t="s">
        <v>736</v>
      </c>
    </row>
    <row r="4" spans="1:3" ht="26.25">
      <c r="A4" t="s">
        <v>746</v>
      </c>
      <c r="B4" t="s">
        <v>734</v>
      </c>
      <c r="C4" s="146" t="s">
        <v>737</v>
      </c>
    </row>
    <row r="5" spans="1:3" ht="26.25">
      <c r="A5" t="s">
        <v>746</v>
      </c>
      <c r="B5" t="s">
        <v>734</v>
      </c>
      <c r="C5" s="146" t="s">
        <v>738</v>
      </c>
    </row>
    <row r="6" spans="1:3" ht="21" customHeight="1">
      <c r="A6" t="s">
        <v>746</v>
      </c>
      <c r="B6" t="s">
        <v>734</v>
      </c>
      <c r="C6" s="146" t="s">
        <v>739</v>
      </c>
    </row>
    <row r="7" spans="1:3" ht="21" customHeight="1">
      <c r="A7" t="s">
        <v>746</v>
      </c>
      <c r="B7" t="s">
        <v>734</v>
      </c>
      <c r="C7" s="146" t="s">
        <v>740</v>
      </c>
    </row>
    <row r="8" spans="1:3" ht="26.25">
      <c r="A8" t="s">
        <v>746</v>
      </c>
      <c r="B8" t="s">
        <v>734</v>
      </c>
      <c r="C8" s="146" t="s">
        <v>741</v>
      </c>
    </row>
    <row r="9" spans="1:3" ht="26.25">
      <c r="A9" t="s">
        <v>746</v>
      </c>
      <c r="B9" t="s">
        <v>734</v>
      </c>
      <c r="C9" s="146" t="s">
        <v>742</v>
      </c>
    </row>
    <row r="10" spans="1:3" ht="26.25">
      <c r="A10" t="s">
        <v>746</v>
      </c>
      <c r="B10" t="s">
        <v>734</v>
      </c>
      <c r="C10" s="146" t="s">
        <v>743</v>
      </c>
    </row>
    <row r="11" spans="1:3" ht="26.25">
      <c r="A11" t="s">
        <v>746</v>
      </c>
      <c r="B11" t="s">
        <v>734</v>
      </c>
      <c r="C11" s="146" t="s">
        <v>744</v>
      </c>
    </row>
    <row r="12" spans="1:3" ht="26.25">
      <c r="A12" t="s">
        <v>746</v>
      </c>
      <c r="B12" t="s">
        <v>734</v>
      </c>
      <c r="C12" s="146" t="s">
        <v>745</v>
      </c>
    </row>
    <row r="13" spans="1:3" ht="26.25">
      <c r="A13" t="s">
        <v>746</v>
      </c>
      <c r="B13" t="s">
        <v>735</v>
      </c>
      <c r="C13" s="146" t="s">
        <v>747</v>
      </c>
    </row>
    <row r="14" spans="1:3" ht="26.25">
      <c r="A14" t="s">
        <v>746</v>
      </c>
      <c r="B14" t="s">
        <v>735</v>
      </c>
      <c r="C14" s="146" t="s">
        <v>748</v>
      </c>
    </row>
    <row r="15" spans="1:3" ht="26.25">
      <c r="A15" t="s">
        <v>746</v>
      </c>
      <c r="B15" t="s">
        <v>735</v>
      </c>
      <c r="C15" s="146" t="s">
        <v>749</v>
      </c>
    </row>
    <row r="16" spans="1:3" ht="26.25">
      <c r="A16" t="s">
        <v>746</v>
      </c>
      <c r="B16" t="s">
        <v>735</v>
      </c>
      <c r="C16" s="146" t="s">
        <v>750</v>
      </c>
    </row>
    <row r="17" spans="1:3" ht="26.25">
      <c r="A17" t="s">
        <v>746</v>
      </c>
      <c r="B17" t="s">
        <v>735</v>
      </c>
      <c r="C17" s="146" t="s">
        <v>751</v>
      </c>
    </row>
    <row r="18" spans="1:3" ht="26.25">
      <c r="A18" t="s">
        <v>746</v>
      </c>
      <c r="B18" t="s">
        <v>735</v>
      </c>
      <c r="C18" s="146" t="s">
        <v>752</v>
      </c>
    </row>
    <row r="19" spans="1:3" ht="26.25">
      <c r="A19" t="s">
        <v>746</v>
      </c>
      <c r="B19" t="s">
        <v>735</v>
      </c>
      <c r="C19" s="146" t="s">
        <v>753</v>
      </c>
    </row>
    <row r="20" spans="1:3" ht="26.25">
      <c r="A20" t="s">
        <v>746</v>
      </c>
      <c r="B20" t="s">
        <v>735</v>
      </c>
      <c r="C20" s="146" t="s">
        <v>754</v>
      </c>
    </row>
    <row r="21" spans="1:3" ht="26.25">
      <c r="A21" t="s">
        <v>746</v>
      </c>
      <c r="B21" t="s">
        <v>735</v>
      </c>
      <c r="C21" s="146" t="s">
        <v>755</v>
      </c>
    </row>
    <row r="22" spans="1:3" ht="26.25">
      <c r="A22" t="s">
        <v>746</v>
      </c>
      <c r="B22" t="s">
        <v>735</v>
      </c>
      <c r="C22" s="146" t="s">
        <v>756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3E5368-B718-4DA6-B5CD-8525A87AA325}">
  <sheetPr codeName="Лист5"/>
  <dimension ref="A1:C1000"/>
  <sheetViews>
    <sheetView workbookViewId="0">
      <selection activeCell="D5" sqref="D5"/>
    </sheetView>
  </sheetViews>
  <sheetFormatPr defaultColWidth="14.42578125" defaultRowHeight="15" customHeight="1"/>
  <cols>
    <col min="1" max="1" width="14.42578125" style="63" customWidth="1"/>
    <col min="2" max="2" width="17" style="63" customWidth="1"/>
    <col min="3" max="3" width="16" style="63" customWidth="1"/>
    <col min="4" max="26" width="8.7109375" style="63" customWidth="1"/>
    <col min="27" max="16384" width="14.42578125" style="63"/>
  </cols>
  <sheetData>
    <row r="1" spans="1:3">
      <c r="A1" s="66" t="s">
        <v>571</v>
      </c>
      <c r="B1" s="66" t="s">
        <v>572</v>
      </c>
      <c r="C1" s="66" t="s">
        <v>573</v>
      </c>
    </row>
    <row r="2" spans="1:3">
      <c r="A2" s="66">
        <v>1</v>
      </c>
      <c r="B2" s="66" t="s">
        <v>228</v>
      </c>
      <c r="C2" s="66" t="s">
        <v>229</v>
      </c>
    </row>
    <row r="3" spans="1:3">
      <c r="A3" s="66">
        <v>2</v>
      </c>
      <c r="B3" s="66" t="s">
        <v>228</v>
      </c>
      <c r="C3" s="66" t="s">
        <v>229</v>
      </c>
    </row>
    <row r="4" spans="1:3">
      <c r="A4" s="66">
        <v>3</v>
      </c>
      <c r="B4" s="66" t="s">
        <v>230</v>
      </c>
      <c r="C4" s="66" t="s">
        <v>231</v>
      </c>
    </row>
    <row r="5" spans="1:3">
      <c r="A5" s="66">
        <v>4</v>
      </c>
      <c r="B5" s="66" t="s">
        <v>230</v>
      </c>
      <c r="C5" s="66" t="s">
        <v>231</v>
      </c>
    </row>
    <row r="6" spans="1:3">
      <c r="A6" s="66">
        <v>5</v>
      </c>
      <c r="B6" s="66" t="s">
        <v>229</v>
      </c>
      <c r="C6" s="66" t="s">
        <v>232</v>
      </c>
    </row>
    <row r="7" spans="1:3">
      <c r="A7" s="66">
        <v>6</v>
      </c>
      <c r="B7" s="66" t="s">
        <v>229</v>
      </c>
      <c r="C7" s="66" t="s">
        <v>232</v>
      </c>
    </row>
    <row r="8" spans="1:3">
      <c r="A8" s="66">
        <v>7</v>
      </c>
      <c r="B8" s="66" t="s">
        <v>231</v>
      </c>
      <c r="C8" s="66" t="s">
        <v>233</v>
      </c>
    </row>
    <row r="9" spans="1:3">
      <c r="A9" s="66">
        <v>8</v>
      </c>
      <c r="B9" s="66" t="s">
        <v>231</v>
      </c>
      <c r="C9" s="66" t="s">
        <v>233</v>
      </c>
    </row>
    <row r="10" spans="1:3">
      <c r="A10" s="66">
        <v>9</v>
      </c>
      <c r="B10" s="66" t="s">
        <v>232</v>
      </c>
      <c r="C10" s="66" t="s">
        <v>234</v>
      </c>
    </row>
    <row r="11" spans="1:3">
      <c r="A11" s="66">
        <v>10</v>
      </c>
      <c r="B11" s="66" t="s">
        <v>232</v>
      </c>
      <c r="C11" s="66" t="s">
        <v>234</v>
      </c>
    </row>
    <row r="12" spans="1:3">
      <c r="A12" s="66">
        <v>11</v>
      </c>
      <c r="B12" s="66" t="s">
        <v>233</v>
      </c>
      <c r="C12" s="66" t="s">
        <v>235</v>
      </c>
    </row>
    <row r="13" spans="1:3">
      <c r="A13" s="66">
        <v>12</v>
      </c>
      <c r="B13" s="66" t="s">
        <v>233</v>
      </c>
      <c r="C13" s="66" t="s">
        <v>235</v>
      </c>
    </row>
    <row r="14" spans="1:3">
      <c r="A14" s="66">
        <v>13</v>
      </c>
      <c r="B14" s="66" t="s">
        <v>234</v>
      </c>
      <c r="C14" s="66" t="s">
        <v>236</v>
      </c>
    </row>
    <row r="21" ht="15.75" customHeight="1"/>
    <row r="22" ht="15.75" customHeight="1"/>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ageMargins left="0.7" right="0.7" top="0.75" bottom="0.75"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11E39F-400D-4BA7-8390-7D341340D56E}">
  <sheetPr codeName="Лист12"/>
  <dimension ref="A1:E14"/>
  <sheetViews>
    <sheetView workbookViewId="0">
      <selection activeCell="D6" sqref="D6"/>
    </sheetView>
  </sheetViews>
  <sheetFormatPr defaultRowHeight="15"/>
  <sheetData>
    <row r="1" spans="1:5">
      <c r="A1" s="156" t="s">
        <v>808</v>
      </c>
      <c r="B1" s="156"/>
      <c r="C1" s="156">
        <f>ROUNDDOWN(('ЛИСТ ПЕРСОНАЖА'!C18+'ЛИСТ ПЕРСОНАЖА'!C22)/2,0)</f>
        <v>6</v>
      </c>
    </row>
    <row r="2" spans="1:5">
      <c r="A2" s="157"/>
      <c r="B2" s="157" t="s">
        <v>809</v>
      </c>
      <c r="C2" s="157" t="s">
        <v>810</v>
      </c>
      <c r="D2" s="157" t="s">
        <v>811</v>
      </c>
      <c r="E2" s="157" t="s">
        <v>812</v>
      </c>
    </row>
    <row r="3" spans="1:5">
      <c r="A3" s="155">
        <v>2</v>
      </c>
      <c r="B3" s="155">
        <v>10</v>
      </c>
      <c r="C3" s="155">
        <v>10</v>
      </c>
      <c r="D3" s="155">
        <v>2</v>
      </c>
      <c r="E3" s="155">
        <v>2</v>
      </c>
    </row>
    <row r="4" spans="1:5">
      <c r="A4" s="155">
        <v>3</v>
      </c>
      <c r="B4" s="155">
        <f>B3+5</f>
        <v>15</v>
      </c>
      <c r="C4" s="155">
        <f>C3+5</f>
        <v>15</v>
      </c>
      <c r="D4" s="155">
        <f>D3+1</f>
        <v>3</v>
      </c>
      <c r="E4" s="155">
        <f>E3+1</f>
        <v>3</v>
      </c>
    </row>
    <row r="5" spans="1:5">
      <c r="A5" s="155">
        <v>4</v>
      </c>
      <c r="B5" s="155">
        <f t="shared" ref="B5:C14" si="0">B4+5</f>
        <v>20</v>
      </c>
      <c r="C5" s="155">
        <f t="shared" si="0"/>
        <v>20</v>
      </c>
      <c r="D5" s="155">
        <f t="shared" ref="D5:D14" si="1">D4+1</f>
        <v>4</v>
      </c>
      <c r="E5" s="155">
        <f t="shared" ref="E5:E14" si="2">E4+1</f>
        <v>4</v>
      </c>
    </row>
    <row r="6" spans="1:5">
      <c r="A6" s="155">
        <v>5</v>
      </c>
      <c r="B6" s="155">
        <f t="shared" si="0"/>
        <v>25</v>
      </c>
      <c r="C6" s="155">
        <f t="shared" si="0"/>
        <v>25</v>
      </c>
      <c r="D6" s="155">
        <f t="shared" si="1"/>
        <v>5</v>
      </c>
      <c r="E6" s="155">
        <f t="shared" si="2"/>
        <v>5</v>
      </c>
    </row>
    <row r="7" spans="1:5">
      <c r="A7" s="155">
        <v>6</v>
      </c>
      <c r="B7" s="155">
        <f t="shared" si="0"/>
        <v>30</v>
      </c>
      <c r="C7" s="155">
        <f t="shared" si="0"/>
        <v>30</v>
      </c>
      <c r="D7" s="155">
        <f t="shared" si="1"/>
        <v>6</v>
      </c>
      <c r="E7" s="155">
        <f t="shared" si="2"/>
        <v>6</v>
      </c>
    </row>
    <row r="8" spans="1:5">
      <c r="A8" s="155">
        <v>7</v>
      </c>
      <c r="B8" s="155">
        <f t="shared" si="0"/>
        <v>35</v>
      </c>
      <c r="C8" s="155">
        <f t="shared" si="0"/>
        <v>35</v>
      </c>
      <c r="D8" s="155">
        <f t="shared" si="1"/>
        <v>7</v>
      </c>
      <c r="E8" s="155">
        <f t="shared" si="2"/>
        <v>7</v>
      </c>
    </row>
    <row r="9" spans="1:5">
      <c r="A9" s="155">
        <v>8</v>
      </c>
      <c r="B9" s="155">
        <f t="shared" si="0"/>
        <v>40</v>
      </c>
      <c r="C9" s="155">
        <f t="shared" si="0"/>
        <v>40</v>
      </c>
      <c r="D9" s="155">
        <f t="shared" si="1"/>
        <v>8</v>
      </c>
      <c r="E9" s="155">
        <f t="shared" si="2"/>
        <v>8</v>
      </c>
    </row>
    <row r="10" spans="1:5">
      <c r="A10" s="155">
        <v>9</v>
      </c>
      <c r="B10" s="155">
        <f t="shared" si="0"/>
        <v>45</v>
      </c>
      <c r="C10" s="155">
        <f t="shared" si="0"/>
        <v>45</v>
      </c>
      <c r="D10" s="155">
        <f t="shared" si="1"/>
        <v>9</v>
      </c>
      <c r="E10" s="155">
        <f t="shared" si="2"/>
        <v>9</v>
      </c>
    </row>
    <row r="11" spans="1:5">
      <c r="A11" s="155">
        <v>10</v>
      </c>
      <c r="B11" s="155">
        <f t="shared" si="0"/>
        <v>50</v>
      </c>
      <c r="C11" s="155">
        <f t="shared" si="0"/>
        <v>50</v>
      </c>
      <c r="D11" s="155">
        <f t="shared" si="1"/>
        <v>10</v>
      </c>
      <c r="E11" s="155">
        <f t="shared" si="2"/>
        <v>10</v>
      </c>
    </row>
    <row r="12" spans="1:5">
      <c r="A12" s="155">
        <v>11</v>
      </c>
      <c r="B12" s="155">
        <f t="shared" si="0"/>
        <v>55</v>
      </c>
      <c r="C12" s="155">
        <f t="shared" si="0"/>
        <v>55</v>
      </c>
      <c r="D12" s="155">
        <f t="shared" si="1"/>
        <v>11</v>
      </c>
      <c r="E12" s="155">
        <f t="shared" si="2"/>
        <v>11</v>
      </c>
    </row>
    <row r="13" spans="1:5">
      <c r="A13" s="155">
        <v>12</v>
      </c>
      <c r="B13" s="155">
        <f t="shared" si="0"/>
        <v>60</v>
      </c>
      <c r="C13" s="155">
        <f t="shared" si="0"/>
        <v>60</v>
      </c>
      <c r="D13" s="155">
        <f t="shared" si="1"/>
        <v>12</v>
      </c>
      <c r="E13" s="155">
        <f t="shared" si="2"/>
        <v>12</v>
      </c>
    </row>
    <row r="14" spans="1:5">
      <c r="A14" s="155">
        <v>13</v>
      </c>
      <c r="B14" s="155">
        <f t="shared" si="0"/>
        <v>65</v>
      </c>
      <c r="C14" s="155">
        <f t="shared" si="0"/>
        <v>65</v>
      </c>
      <c r="D14" s="155">
        <f t="shared" si="1"/>
        <v>13</v>
      </c>
      <c r="E14" s="155">
        <f t="shared" si="2"/>
        <v>13</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D6E83-3C1F-48EA-9B12-3F642626BA09}">
  <sheetPr codeName="Лист7">
    <outlinePr summaryBelow="0" summaryRight="0"/>
  </sheetPr>
  <dimension ref="A1:AJ1000"/>
  <sheetViews>
    <sheetView workbookViewId="0">
      <selection activeCell="A2" sqref="A2:C2"/>
    </sheetView>
  </sheetViews>
  <sheetFormatPr defaultColWidth="14.42578125" defaultRowHeight="15.75" customHeight="1"/>
  <cols>
    <col min="1" max="1" width="14.42578125" style="102" customWidth="1"/>
    <col min="2" max="2" width="15.85546875" style="102" customWidth="1"/>
    <col min="3" max="3" width="17.28515625" style="102" customWidth="1"/>
    <col min="4" max="4" width="16.5703125" style="102" customWidth="1"/>
    <col min="5" max="5" width="16" style="102" customWidth="1"/>
    <col min="6" max="6" width="14.42578125" style="102" customWidth="1"/>
    <col min="7" max="7" width="14.42578125" style="102"/>
    <col min="8" max="8" width="18.42578125" style="102" customWidth="1"/>
    <col min="9" max="12" width="14.42578125" style="102"/>
    <col min="13" max="13" width="13.42578125" style="102" customWidth="1"/>
    <col min="14" max="14" width="15" style="102" customWidth="1"/>
    <col min="15" max="15" width="17.28515625" style="102" customWidth="1"/>
    <col min="16" max="16384" width="14.42578125" style="102"/>
  </cols>
  <sheetData>
    <row r="1" spans="1:36" ht="51.75" customHeight="1" thickTop="1" thickBot="1">
      <c r="A1" s="537" t="s">
        <v>214</v>
      </c>
      <c r="B1" s="538"/>
      <c r="C1" s="531"/>
      <c r="D1" s="100"/>
      <c r="E1" s="537" t="s">
        <v>212</v>
      </c>
      <c r="F1" s="538"/>
      <c r="G1" s="531"/>
      <c r="H1" s="100"/>
      <c r="I1" s="537" t="s">
        <v>198</v>
      </c>
      <c r="J1" s="538"/>
      <c r="K1" s="531"/>
      <c r="L1" s="100"/>
      <c r="M1" s="537" t="s">
        <v>210</v>
      </c>
      <c r="N1" s="538"/>
      <c r="O1" s="531"/>
      <c r="P1" s="101"/>
      <c r="Q1" s="537" t="s">
        <v>206</v>
      </c>
      <c r="R1" s="538"/>
      <c r="S1" s="531"/>
      <c r="T1" s="101"/>
      <c r="U1" s="563" t="s">
        <v>204</v>
      </c>
      <c r="V1" s="538"/>
      <c r="W1" s="531"/>
      <c r="X1" s="101"/>
      <c r="Y1" s="534" t="s">
        <v>208</v>
      </c>
      <c r="Z1" s="535"/>
      <c r="AA1" s="536"/>
      <c r="AB1" s="122"/>
      <c r="AC1" s="534" t="s">
        <v>202</v>
      </c>
      <c r="AD1" s="535"/>
      <c r="AE1" s="536"/>
      <c r="AF1" s="122"/>
      <c r="AG1" s="537" t="s">
        <v>200</v>
      </c>
      <c r="AH1" s="538"/>
      <c r="AI1" s="531"/>
    </row>
    <row r="2" spans="1:36" ht="51.75" customHeight="1" thickTop="1" thickBot="1">
      <c r="A2" s="540" t="s">
        <v>574</v>
      </c>
      <c r="B2" s="538"/>
      <c r="C2" s="531"/>
      <c r="D2" s="100" t="s">
        <v>37</v>
      </c>
      <c r="E2" s="540" t="s">
        <v>575</v>
      </c>
      <c r="F2" s="538"/>
      <c r="G2" s="531"/>
      <c r="H2" s="100" t="s">
        <v>42</v>
      </c>
      <c r="I2" s="540" t="s">
        <v>576</v>
      </c>
      <c r="J2" s="538"/>
      <c r="K2" s="531"/>
      <c r="L2" s="100" t="s">
        <v>42</v>
      </c>
      <c r="M2" s="540" t="s">
        <v>577</v>
      </c>
      <c r="N2" s="538"/>
      <c r="O2" s="531"/>
      <c r="P2" s="101" t="s">
        <v>37</v>
      </c>
      <c r="Q2" s="540" t="s">
        <v>578</v>
      </c>
      <c r="R2" s="538"/>
      <c r="S2" s="531"/>
      <c r="T2" s="101" t="s">
        <v>37</v>
      </c>
      <c r="U2" s="540" t="s">
        <v>579</v>
      </c>
      <c r="V2" s="538"/>
      <c r="W2" s="531"/>
      <c r="X2" s="101" t="s">
        <v>43</v>
      </c>
      <c r="Y2" s="539" t="s">
        <v>680</v>
      </c>
      <c r="Z2" s="538"/>
      <c r="AA2" s="531"/>
      <c r="AB2" s="214" t="s">
        <v>40</v>
      </c>
      <c r="AC2" s="539" t="s">
        <v>681</v>
      </c>
      <c r="AD2" s="538"/>
      <c r="AE2" s="531"/>
      <c r="AF2" s="214" t="s">
        <v>37</v>
      </c>
      <c r="AG2" s="540" t="s">
        <v>682</v>
      </c>
      <c r="AH2" s="538"/>
      <c r="AI2" s="531"/>
      <c r="AJ2" s="215" t="s">
        <v>43</v>
      </c>
    </row>
    <row r="3" spans="1:36" ht="51.75" customHeight="1" thickTop="1" thickBot="1">
      <c r="A3" s="103" t="s">
        <v>498</v>
      </c>
      <c r="B3" s="104" t="s">
        <v>499</v>
      </c>
      <c r="C3" s="105" t="s">
        <v>438</v>
      </c>
      <c r="D3" s="100"/>
      <c r="E3" s="103" t="s">
        <v>495</v>
      </c>
      <c r="F3" s="104" t="s">
        <v>496</v>
      </c>
      <c r="G3" s="106" t="s">
        <v>497</v>
      </c>
      <c r="H3" s="100"/>
      <c r="I3" s="107" t="s">
        <v>580</v>
      </c>
      <c r="J3" s="108" t="s">
        <v>431</v>
      </c>
      <c r="K3" s="109" t="s">
        <v>581</v>
      </c>
      <c r="L3" s="100"/>
      <c r="M3" s="103" t="s">
        <v>524</v>
      </c>
      <c r="N3" s="110" t="s">
        <v>582</v>
      </c>
      <c r="O3" s="106" t="s">
        <v>494</v>
      </c>
      <c r="P3" s="101"/>
      <c r="Q3" s="103" t="s">
        <v>442</v>
      </c>
      <c r="R3" s="110" t="s">
        <v>583</v>
      </c>
      <c r="S3" s="105" t="s">
        <v>444</v>
      </c>
      <c r="T3" s="101"/>
      <c r="U3" s="103" t="s">
        <v>439</v>
      </c>
      <c r="V3" s="110" t="s">
        <v>584</v>
      </c>
      <c r="W3" s="105" t="s">
        <v>585</v>
      </c>
      <c r="X3" s="101"/>
      <c r="Y3" s="123" t="s">
        <v>683</v>
      </c>
      <c r="Z3" s="104" t="s">
        <v>490</v>
      </c>
      <c r="AA3" s="105" t="s">
        <v>684</v>
      </c>
      <c r="AB3" s="122"/>
      <c r="AC3" s="123" t="s">
        <v>685</v>
      </c>
      <c r="AD3" s="104" t="s">
        <v>686</v>
      </c>
      <c r="AE3" s="105" t="s">
        <v>687</v>
      </c>
      <c r="AF3" s="122"/>
      <c r="AG3" s="103" t="s">
        <v>688</v>
      </c>
      <c r="AH3" s="110" t="s">
        <v>434</v>
      </c>
      <c r="AI3" s="106" t="s">
        <v>689</v>
      </c>
    </row>
    <row r="4" spans="1:36" ht="51.75" customHeight="1" thickTop="1" thickBot="1">
      <c r="A4" s="111" t="s">
        <v>513</v>
      </c>
      <c r="B4" s="112" t="s">
        <v>586</v>
      </c>
      <c r="C4" s="113" t="s">
        <v>587</v>
      </c>
      <c r="D4" s="100"/>
      <c r="E4" s="111" t="s">
        <v>588</v>
      </c>
      <c r="F4" s="112" t="s">
        <v>589</v>
      </c>
      <c r="G4" s="113" t="s">
        <v>590</v>
      </c>
      <c r="H4" s="100"/>
      <c r="I4" s="111" t="s">
        <v>591</v>
      </c>
      <c r="J4" s="112" t="s">
        <v>592</v>
      </c>
      <c r="K4" s="113" t="s">
        <v>593</v>
      </c>
      <c r="L4" s="100"/>
      <c r="M4" s="111" t="s">
        <v>594</v>
      </c>
      <c r="N4" s="112" t="s">
        <v>595</v>
      </c>
      <c r="O4" s="113" t="s">
        <v>596</v>
      </c>
      <c r="P4" s="101"/>
      <c r="Q4" s="111" t="s">
        <v>597</v>
      </c>
      <c r="R4" s="112" t="s">
        <v>598</v>
      </c>
      <c r="S4" s="113" t="s">
        <v>599</v>
      </c>
      <c r="T4" s="101"/>
      <c r="U4" s="111" t="s">
        <v>600</v>
      </c>
      <c r="V4" s="112" t="s">
        <v>601</v>
      </c>
      <c r="W4" s="113" t="s">
        <v>602</v>
      </c>
      <c r="X4" s="101"/>
      <c r="Y4" s="111" t="s">
        <v>690</v>
      </c>
      <c r="Z4" s="112" t="s">
        <v>691</v>
      </c>
      <c r="AA4" s="113" t="s">
        <v>692</v>
      </c>
      <c r="AB4" s="122"/>
      <c r="AC4" s="111" t="s">
        <v>693</v>
      </c>
      <c r="AD4" s="112" t="s">
        <v>694</v>
      </c>
      <c r="AE4" s="113" t="s">
        <v>695</v>
      </c>
      <c r="AF4" s="122"/>
      <c r="AG4" s="111" t="s">
        <v>696</v>
      </c>
      <c r="AH4" s="112" t="s">
        <v>697</v>
      </c>
      <c r="AI4" s="113" t="s">
        <v>698</v>
      </c>
    </row>
    <row r="5" spans="1:36" ht="51.75" customHeight="1" thickTop="1" thickBot="1">
      <c r="A5" s="111" t="s">
        <v>528</v>
      </c>
      <c r="B5" s="112" t="s">
        <v>506</v>
      </c>
      <c r="C5" s="113" t="s">
        <v>603</v>
      </c>
      <c r="D5" s="100"/>
      <c r="E5" s="111" t="s">
        <v>604</v>
      </c>
      <c r="F5" s="112" t="s">
        <v>605</v>
      </c>
      <c r="G5" s="113" t="s">
        <v>606</v>
      </c>
      <c r="H5" s="100"/>
      <c r="I5" s="111" t="s">
        <v>607</v>
      </c>
      <c r="J5" s="112" t="s">
        <v>608</v>
      </c>
      <c r="K5" s="113" t="s">
        <v>609</v>
      </c>
      <c r="L5" s="100"/>
      <c r="M5" s="111" t="s">
        <v>610</v>
      </c>
      <c r="N5" s="112" t="s">
        <v>611</v>
      </c>
      <c r="O5" s="113" t="s">
        <v>612</v>
      </c>
      <c r="P5" s="101"/>
      <c r="Q5" s="111" t="s">
        <v>613</v>
      </c>
      <c r="R5" s="112" t="s">
        <v>614</v>
      </c>
      <c r="S5" s="113" t="s">
        <v>615</v>
      </c>
      <c r="T5" s="101"/>
      <c r="U5" s="111" t="s">
        <v>616</v>
      </c>
      <c r="V5" s="112" t="s">
        <v>617</v>
      </c>
      <c r="W5" s="113" t="s">
        <v>618</v>
      </c>
      <c r="X5" s="101"/>
      <c r="Y5" s="111" t="s">
        <v>699</v>
      </c>
      <c r="Z5" s="112" t="s">
        <v>700</v>
      </c>
      <c r="AA5" s="113" t="s">
        <v>701</v>
      </c>
      <c r="AB5" s="122"/>
      <c r="AC5" s="111" t="s">
        <v>702</v>
      </c>
      <c r="AD5" s="112" t="s">
        <v>703</v>
      </c>
      <c r="AE5" s="113" t="s">
        <v>704</v>
      </c>
      <c r="AF5" s="122"/>
      <c r="AG5" s="111" t="s">
        <v>705</v>
      </c>
      <c r="AH5" s="112" t="s">
        <v>706</v>
      </c>
      <c r="AI5" s="113" t="s">
        <v>707</v>
      </c>
    </row>
    <row r="6" spans="1:36" ht="51.75" customHeight="1" thickTop="1" thickBot="1">
      <c r="A6" s="111" t="s">
        <v>543</v>
      </c>
      <c r="B6" s="112" t="s">
        <v>544</v>
      </c>
      <c r="C6" s="113" t="s">
        <v>619</v>
      </c>
      <c r="D6" s="100"/>
      <c r="E6" s="111" t="s">
        <v>620</v>
      </c>
      <c r="F6" s="112" t="s">
        <v>621</v>
      </c>
      <c r="G6" s="113" t="s">
        <v>622</v>
      </c>
      <c r="H6" s="100"/>
      <c r="I6" s="111" t="s">
        <v>623</v>
      </c>
      <c r="J6" s="112" t="s">
        <v>624</v>
      </c>
      <c r="K6" s="113" t="s">
        <v>625</v>
      </c>
      <c r="L6" s="100"/>
      <c r="M6" s="111" t="s">
        <v>626</v>
      </c>
      <c r="N6" s="112" t="s">
        <v>627</v>
      </c>
      <c r="O6" s="113" t="s">
        <v>628</v>
      </c>
      <c r="P6" s="101"/>
      <c r="Q6" s="111" t="s">
        <v>629</v>
      </c>
      <c r="R6" s="112" t="s">
        <v>630</v>
      </c>
      <c r="S6" s="113" t="s">
        <v>631</v>
      </c>
      <c r="T6" s="101"/>
      <c r="U6" s="111" t="s">
        <v>632</v>
      </c>
      <c r="V6" s="112" t="s">
        <v>633</v>
      </c>
      <c r="W6" s="113" t="s">
        <v>634</v>
      </c>
      <c r="X6" s="101"/>
      <c r="Y6" s="111" t="s">
        <v>708</v>
      </c>
      <c r="Z6" s="112" t="s">
        <v>709</v>
      </c>
      <c r="AA6" s="113" t="s">
        <v>710</v>
      </c>
      <c r="AB6" s="122"/>
      <c r="AC6" s="111" t="s">
        <v>711</v>
      </c>
      <c r="AD6" s="112" t="s">
        <v>712</v>
      </c>
      <c r="AE6" s="113" t="s">
        <v>713</v>
      </c>
      <c r="AF6" s="122"/>
      <c r="AG6" s="111" t="s">
        <v>714</v>
      </c>
      <c r="AH6" s="112" t="s">
        <v>715</v>
      </c>
      <c r="AI6" s="113" t="s">
        <v>716</v>
      </c>
    </row>
    <row r="7" spans="1:36" ht="51.75" customHeight="1" thickTop="1" thickBot="1">
      <c r="A7" s="557" t="s">
        <v>635</v>
      </c>
      <c r="B7" s="531"/>
      <c r="C7" s="114" t="s">
        <v>636</v>
      </c>
      <c r="D7" s="100"/>
      <c r="E7" s="557" t="s">
        <v>637</v>
      </c>
      <c r="F7" s="531"/>
      <c r="G7" s="558" t="s">
        <v>638</v>
      </c>
      <c r="H7" s="100"/>
      <c r="I7" s="544" t="s">
        <v>639</v>
      </c>
      <c r="J7" s="531"/>
      <c r="K7" s="559" t="s">
        <v>640</v>
      </c>
      <c r="L7" s="100"/>
      <c r="M7" s="560" t="s">
        <v>641</v>
      </c>
      <c r="N7" s="531"/>
      <c r="O7" s="561" t="s">
        <v>642</v>
      </c>
      <c r="P7" s="101"/>
      <c r="Q7" s="562" t="s">
        <v>643</v>
      </c>
      <c r="R7" s="531"/>
      <c r="S7" s="556" t="s">
        <v>644</v>
      </c>
      <c r="T7" s="101"/>
      <c r="U7" s="549" t="s">
        <v>645</v>
      </c>
      <c r="V7" s="538"/>
      <c r="W7" s="531"/>
      <c r="X7" s="101"/>
      <c r="Y7" s="541" t="s">
        <v>717</v>
      </c>
      <c r="Z7" s="531"/>
      <c r="AA7" s="542" t="s">
        <v>718</v>
      </c>
      <c r="AB7" s="122"/>
      <c r="AC7" s="544" t="s">
        <v>719</v>
      </c>
      <c r="AD7" s="531"/>
      <c r="AE7" s="545" t="s">
        <v>720</v>
      </c>
      <c r="AF7" s="122"/>
      <c r="AG7" s="546" t="s">
        <v>721</v>
      </c>
      <c r="AH7" s="531"/>
      <c r="AI7" s="113" t="s">
        <v>722</v>
      </c>
    </row>
    <row r="8" spans="1:36" ht="51.75" customHeight="1" thickTop="1" thickBot="1">
      <c r="A8" s="115" t="s">
        <v>646</v>
      </c>
      <c r="B8" s="115" t="s">
        <v>647</v>
      </c>
      <c r="C8" s="550" t="s">
        <v>648</v>
      </c>
      <c r="D8" s="116"/>
      <c r="E8" s="115" t="s">
        <v>649</v>
      </c>
      <c r="F8" s="115" t="s">
        <v>650</v>
      </c>
      <c r="G8" s="543"/>
      <c r="H8" s="100"/>
      <c r="I8" s="115" t="s">
        <v>651</v>
      </c>
      <c r="J8" s="115" t="s">
        <v>21</v>
      </c>
      <c r="K8" s="551"/>
      <c r="L8" s="100"/>
      <c r="M8" s="552" t="s">
        <v>652</v>
      </c>
      <c r="N8" s="531"/>
      <c r="O8" s="551"/>
      <c r="P8" s="101"/>
      <c r="Q8" s="117" t="s">
        <v>653</v>
      </c>
      <c r="R8" s="117" t="s">
        <v>654</v>
      </c>
      <c r="S8" s="543"/>
      <c r="T8" s="101"/>
      <c r="U8" s="118" t="s">
        <v>655</v>
      </c>
      <c r="V8" s="118" t="s">
        <v>656</v>
      </c>
      <c r="W8" s="118" t="s">
        <v>657</v>
      </c>
      <c r="X8" s="101"/>
      <c r="Y8" s="118" t="s">
        <v>723</v>
      </c>
      <c r="Z8" s="118" t="s">
        <v>724</v>
      </c>
      <c r="AA8" s="543"/>
      <c r="AB8" s="122"/>
      <c r="AC8" s="118" t="s">
        <v>725</v>
      </c>
      <c r="AD8" s="118" t="s">
        <v>726</v>
      </c>
      <c r="AE8" s="543"/>
      <c r="AF8" s="122"/>
      <c r="AG8" s="124" t="s">
        <v>727</v>
      </c>
      <c r="AH8" s="124" t="s">
        <v>25</v>
      </c>
      <c r="AI8" s="125" t="s">
        <v>728</v>
      </c>
    </row>
    <row r="9" spans="1:36" ht="51.75" customHeight="1" thickTop="1" thickBot="1">
      <c r="A9" s="115" t="s">
        <v>658</v>
      </c>
      <c r="B9" s="115" t="s">
        <v>659</v>
      </c>
      <c r="C9" s="551"/>
      <c r="D9" s="116"/>
      <c r="E9" s="100"/>
      <c r="F9" s="100"/>
      <c r="G9" s="119"/>
      <c r="H9" s="100"/>
      <c r="I9" s="553" t="s">
        <v>660</v>
      </c>
      <c r="J9" s="531"/>
      <c r="K9" s="543"/>
      <c r="L9" s="100"/>
      <c r="M9" s="552" t="s">
        <v>661</v>
      </c>
      <c r="N9" s="531"/>
      <c r="O9" s="551"/>
      <c r="P9" s="101"/>
      <c r="Q9" s="554" t="s">
        <v>662</v>
      </c>
      <c r="R9" s="531"/>
      <c r="S9" s="556" t="s">
        <v>663</v>
      </c>
      <c r="T9" s="120"/>
      <c r="U9" s="118" t="s">
        <v>664</v>
      </c>
      <c r="V9" s="118" t="s">
        <v>665</v>
      </c>
      <c r="W9" s="118" t="s">
        <v>666</v>
      </c>
      <c r="X9" s="101"/>
      <c r="Y9" s="118" t="s">
        <v>729</v>
      </c>
      <c r="Z9" s="118" t="s">
        <v>730</v>
      </c>
      <c r="AA9" s="126"/>
      <c r="AB9" s="126"/>
      <c r="AC9" s="530" t="s">
        <v>731</v>
      </c>
      <c r="AD9" s="531"/>
      <c r="AE9" s="126"/>
      <c r="AF9" s="126"/>
      <c r="AG9" s="532"/>
      <c r="AH9" s="533"/>
      <c r="AI9" s="126"/>
    </row>
    <row r="10" spans="1:36" ht="51.75" customHeight="1" thickTop="1" thickBot="1">
      <c r="A10" s="115" t="s">
        <v>667</v>
      </c>
      <c r="B10" s="115" t="s">
        <v>668</v>
      </c>
      <c r="C10" s="551"/>
      <c r="D10" s="100"/>
      <c r="E10" s="100"/>
      <c r="F10" s="100"/>
      <c r="G10" s="119"/>
      <c r="H10" s="100"/>
      <c r="I10" s="100"/>
      <c r="J10" s="100"/>
      <c r="K10" s="100"/>
      <c r="L10" s="100"/>
      <c r="M10" s="552" t="s">
        <v>669</v>
      </c>
      <c r="N10" s="531"/>
      <c r="O10" s="543"/>
      <c r="P10" s="101"/>
      <c r="Q10" s="554" t="s">
        <v>670</v>
      </c>
      <c r="R10" s="531"/>
      <c r="S10" s="543"/>
      <c r="T10" s="101"/>
      <c r="U10" s="117" t="s">
        <v>671</v>
      </c>
      <c r="V10" s="118" t="s">
        <v>672</v>
      </c>
      <c r="W10" s="118" t="s">
        <v>673</v>
      </c>
      <c r="X10" s="101"/>
      <c r="Y10" s="118" t="s">
        <v>732</v>
      </c>
      <c r="Z10" s="118" t="s">
        <v>733</v>
      </c>
      <c r="AA10" s="126"/>
      <c r="AB10" s="126"/>
      <c r="AC10" s="126"/>
      <c r="AD10" s="126"/>
      <c r="AE10" s="126"/>
      <c r="AF10" s="126"/>
      <c r="AG10" s="122"/>
      <c r="AH10" s="122"/>
      <c r="AI10" s="126"/>
    </row>
    <row r="11" spans="1:36" ht="51.75" customHeight="1" thickTop="1" thickBot="1">
      <c r="A11" s="115" t="s">
        <v>674</v>
      </c>
      <c r="B11" s="115" t="s">
        <v>675</v>
      </c>
      <c r="C11" s="551"/>
      <c r="D11" s="100"/>
      <c r="E11" s="100"/>
      <c r="F11" s="100"/>
      <c r="G11" s="119"/>
      <c r="H11" s="100"/>
      <c r="I11" s="100"/>
      <c r="J11" s="100"/>
      <c r="K11" s="100"/>
      <c r="L11" s="100"/>
      <c r="M11" s="100"/>
      <c r="N11" s="100"/>
      <c r="O11" s="100"/>
      <c r="P11" s="101"/>
      <c r="Q11" s="101"/>
      <c r="R11" s="101"/>
      <c r="S11" s="101"/>
      <c r="T11" s="121"/>
      <c r="U11" s="530" t="s">
        <v>676</v>
      </c>
      <c r="V11" s="538"/>
      <c r="W11" s="531"/>
      <c r="X11" s="101"/>
      <c r="Y11" s="101"/>
      <c r="Z11" s="101"/>
    </row>
    <row r="12" spans="1:36" ht="51.75" customHeight="1" thickTop="1" thickBot="1">
      <c r="A12" s="115" t="s">
        <v>677</v>
      </c>
      <c r="B12" s="115" t="s">
        <v>678</v>
      </c>
      <c r="C12" s="543"/>
      <c r="D12" s="122"/>
      <c r="E12" s="122"/>
      <c r="F12" s="122"/>
      <c r="G12" s="119"/>
      <c r="H12" s="122"/>
      <c r="I12" s="122"/>
      <c r="J12" s="122"/>
      <c r="K12" s="122"/>
      <c r="L12" s="122"/>
      <c r="M12" s="122"/>
      <c r="N12" s="122"/>
      <c r="O12" s="122"/>
      <c r="P12" s="101"/>
      <c r="Q12" s="101"/>
      <c r="R12" s="101"/>
      <c r="S12" s="101"/>
      <c r="T12" s="101"/>
      <c r="U12" s="555" t="s">
        <v>679</v>
      </c>
      <c r="V12" s="538"/>
      <c r="W12" s="531"/>
      <c r="X12" s="101"/>
      <c r="Y12" s="101"/>
      <c r="Z12" s="101"/>
    </row>
    <row r="13" spans="1:36" ht="51.75" customHeight="1" thickTop="1" thickBot="1">
      <c r="A13" s="119"/>
      <c r="B13" s="119"/>
      <c r="C13" s="119"/>
      <c r="D13" s="122"/>
      <c r="E13" s="122"/>
      <c r="F13" s="122"/>
      <c r="G13" s="119"/>
      <c r="H13" s="122"/>
      <c r="I13" s="122"/>
      <c r="J13" s="122"/>
      <c r="K13" s="122"/>
      <c r="L13" s="122"/>
      <c r="M13" s="122"/>
      <c r="N13" s="122"/>
      <c r="O13" s="122"/>
      <c r="P13" s="101"/>
      <c r="Q13" s="101"/>
      <c r="R13" s="101"/>
      <c r="S13" s="101"/>
      <c r="T13" s="101"/>
      <c r="U13" s="101"/>
      <c r="V13" s="101"/>
      <c r="W13" s="101"/>
      <c r="X13" s="101"/>
      <c r="Y13" s="101"/>
      <c r="Z13" s="101"/>
    </row>
    <row r="14" spans="1:36" ht="51.75" customHeight="1" thickTop="1" thickBot="1">
      <c r="A14" s="534" t="s">
        <v>208</v>
      </c>
      <c r="B14" s="535"/>
      <c r="C14" s="536"/>
      <c r="D14" s="122"/>
      <c r="E14" s="534" t="s">
        <v>202</v>
      </c>
      <c r="F14" s="535"/>
      <c r="G14" s="536"/>
      <c r="H14" s="122"/>
      <c r="I14" s="537" t="s">
        <v>200</v>
      </c>
      <c r="J14" s="538"/>
      <c r="K14" s="531"/>
      <c r="L14" s="122"/>
      <c r="M14" s="122"/>
      <c r="N14" s="122"/>
      <c r="O14" s="122"/>
      <c r="P14" s="101"/>
      <c r="Q14" s="101"/>
      <c r="R14" s="101"/>
      <c r="S14" s="101"/>
      <c r="T14" s="101"/>
      <c r="U14" s="101"/>
      <c r="V14" s="101"/>
      <c r="W14" s="101"/>
      <c r="X14" s="101"/>
      <c r="Y14" s="101"/>
      <c r="Z14" s="101"/>
    </row>
    <row r="15" spans="1:36" ht="51.75" customHeight="1" thickTop="1" thickBot="1">
      <c r="A15" s="539" t="s">
        <v>680</v>
      </c>
      <c r="B15" s="538"/>
      <c r="C15" s="531"/>
      <c r="D15" s="122"/>
      <c r="E15" s="539" t="s">
        <v>681</v>
      </c>
      <c r="F15" s="538"/>
      <c r="G15" s="531"/>
      <c r="H15" s="122"/>
      <c r="I15" s="540" t="s">
        <v>682</v>
      </c>
      <c r="J15" s="538"/>
      <c r="K15" s="531"/>
      <c r="L15" s="122"/>
      <c r="M15" s="122"/>
      <c r="N15" s="122"/>
      <c r="O15" s="122"/>
      <c r="P15" s="101"/>
      <c r="Q15" s="101"/>
      <c r="R15" s="101"/>
      <c r="S15" s="101"/>
      <c r="T15" s="101"/>
      <c r="U15" s="101"/>
      <c r="V15" s="101"/>
      <c r="W15" s="101"/>
      <c r="X15" s="101"/>
      <c r="Y15" s="101"/>
      <c r="Z15" s="101"/>
    </row>
    <row r="16" spans="1:36" ht="51.75" customHeight="1" thickTop="1" thickBot="1">
      <c r="A16" s="123" t="s">
        <v>683</v>
      </c>
      <c r="B16" s="104" t="s">
        <v>490</v>
      </c>
      <c r="C16" s="105" t="s">
        <v>684</v>
      </c>
      <c r="D16" s="122"/>
      <c r="E16" s="123" t="s">
        <v>685</v>
      </c>
      <c r="F16" s="104" t="s">
        <v>686</v>
      </c>
      <c r="G16" s="105" t="s">
        <v>687</v>
      </c>
      <c r="H16" s="122"/>
      <c r="I16" s="103" t="s">
        <v>688</v>
      </c>
      <c r="J16" s="110" t="s">
        <v>434</v>
      </c>
      <c r="K16" s="106" t="s">
        <v>689</v>
      </c>
      <c r="L16" s="122"/>
      <c r="M16" s="122"/>
      <c r="N16" s="122"/>
      <c r="O16" s="122"/>
      <c r="P16" s="101"/>
      <c r="Q16" s="101"/>
      <c r="R16" s="101"/>
      <c r="S16" s="101"/>
      <c r="T16" s="101"/>
      <c r="U16" s="101"/>
      <c r="V16" s="101"/>
      <c r="W16" s="101"/>
      <c r="X16" s="101"/>
      <c r="Y16" s="101"/>
      <c r="Z16" s="101"/>
    </row>
    <row r="17" spans="1:26" ht="51.75" customHeight="1" thickTop="1" thickBot="1">
      <c r="A17" s="111" t="s">
        <v>690</v>
      </c>
      <c r="B17" s="112" t="s">
        <v>691</v>
      </c>
      <c r="C17" s="113" t="s">
        <v>692</v>
      </c>
      <c r="D17" s="122"/>
      <c r="E17" s="111" t="s">
        <v>693</v>
      </c>
      <c r="F17" s="112" t="s">
        <v>694</v>
      </c>
      <c r="G17" s="113" t="s">
        <v>695</v>
      </c>
      <c r="H17" s="122"/>
      <c r="I17" s="111" t="s">
        <v>696</v>
      </c>
      <c r="J17" s="112" t="s">
        <v>697</v>
      </c>
      <c r="K17" s="113" t="s">
        <v>698</v>
      </c>
      <c r="L17" s="122"/>
      <c r="M17" s="122"/>
      <c r="N17" s="122"/>
      <c r="O17" s="122"/>
      <c r="P17" s="101"/>
      <c r="Q17" s="101"/>
      <c r="R17" s="101"/>
      <c r="S17" s="101"/>
      <c r="T17" s="101"/>
      <c r="U17" s="101"/>
      <c r="V17" s="101"/>
      <c r="W17" s="101"/>
      <c r="X17" s="101"/>
      <c r="Y17" s="101"/>
      <c r="Z17" s="101"/>
    </row>
    <row r="18" spans="1:26" ht="51.75" customHeight="1" thickTop="1" thickBot="1">
      <c r="A18" s="111" t="s">
        <v>699</v>
      </c>
      <c r="B18" s="112" t="s">
        <v>700</v>
      </c>
      <c r="C18" s="113" t="s">
        <v>701</v>
      </c>
      <c r="D18" s="122"/>
      <c r="E18" s="111" t="s">
        <v>702</v>
      </c>
      <c r="F18" s="112" t="s">
        <v>703</v>
      </c>
      <c r="G18" s="113" t="s">
        <v>704</v>
      </c>
      <c r="H18" s="122"/>
      <c r="I18" s="111" t="s">
        <v>705</v>
      </c>
      <c r="J18" s="112" t="s">
        <v>706</v>
      </c>
      <c r="K18" s="113" t="s">
        <v>707</v>
      </c>
      <c r="L18" s="122"/>
      <c r="M18" s="122"/>
      <c r="N18" s="122"/>
      <c r="O18" s="122"/>
      <c r="P18" s="101"/>
      <c r="Q18" s="101"/>
      <c r="R18" s="101"/>
      <c r="S18" s="101"/>
      <c r="T18" s="101"/>
      <c r="U18" s="101"/>
      <c r="V18" s="101"/>
      <c r="W18" s="101"/>
      <c r="X18" s="101"/>
      <c r="Y18" s="101"/>
      <c r="Z18" s="101"/>
    </row>
    <row r="19" spans="1:26" ht="51.75" customHeight="1" thickTop="1" thickBot="1">
      <c r="A19" s="111" t="s">
        <v>708</v>
      </c>
      <c r="B19" s="112" t="s">
        <v>709</v>
      </c>
      <c r="C19" s="113" t="s">
        <v>710</v>
      </c>
      <c r="D19" s="122"/>
      <c r="E19" s="111" t="s">
        <v>711</v>
      </c>
      <c r="F19" s="112" t="s">
        <v>712</v>
      </c>
      <c r="G19" s="113" t="s">
        <v>713</v>
      </c>
      <c r="H19" s="122"/>
      <c r="I19" s="111" t="s">
        <v>714</v>
      </c>
      <c r="J19" s="112" t="s">
        <v>715</v>
      </c>
      <c r="K19" s="113" t="s">
        <v>716</v>
      </c>
      <c r="L19" s="122"/>
      <c r="M19" s="122"/>
      <c r="N19" s="122"/>
      <c r="O19" s="122"/>
      <c r="P19" s="101"/>
      <c r="Q19" s="101"/>
      <c r="R19" s="101"/>
      <c r="S19" s="101"/>
      <c r="T19" s="101"/>
      <c r="U19" s="101"/>
      <c r="V19" s="101"/>
      <c r="W19" s="101"/>
      <c r="X19" s="101"/>
      <c r="Y19" s="101"/>
      <c r="Z19" s="101"/>
    </row>
    <row r="20" spans="1:26" ht="51.75" customHeight="1" thickTop="1" thickBot="1">
      <c r="A20" s="541" t="s">
        <v>717</v>
      </c>
      <c r="B20" s="531"/>
      <c r="C20" s="542" t="s">
        <v>718</v>
      </c>
      <c r="D20" s="122"/>
      <c r="E20" s="544" t="s">
        <v>719</v>
      </c>
      <c r="F20" s="531"/>
      <c r="G20" s="545" t="s">
        <v>720</v>
      </c>
      <c r="H20" s="122"/>
      <c r="I20" s="546" t="s">
        <v>721</v>
      </c>
      <c r="J20" s="531"/>
      <c r="K20" s="113" t="s">
        <v>722</v>
      </c>
      <c r="L20" s="122"/>
      <c r="M20" s="122"/>
      <c r="N20" s="122"/>
      <c r="O20" s="122"/>
      <c r="P20" s="101"/>
      <c r="Q20" s="101"/>
      <c r="R20" s="101"/>
      <c r="S20" s="101"/>
      <c r="T20" s="101"/>
      <c r="U20" s="101"/>
      <c r="V20" s="101"/>
      <c r="W20" s="101"/>
      <c r="X20" s="101"/>
      <c r="Y20" s="101"/>
      <c r="Z20" s="101"/>
    </row>
    <row r="21" spans="1:26" ht="51.75" customHeight="1" thickTop="1" thickBot="1">
      <c r="A21" s="118" t="s">
        <v>723</v>
      </c>
      <c r="B21" s="118" t="s">
        <v>724</v>
      </c>
      <c r="C21" s="543"/>
      <c r="D21" s="122"/>
      <c r="E21" s="118" t="s">
        <v>725</v>
      </c>
      <c r="F21" s="118" t="s">
        <v>726</v>
      </c>
      <c r="G21" s="543"/>
      <c r="H21" s="122"/>
      <c r="I21" s="124" t="s">
        <v>727</v>
      </c>
      <c r="J21" s="124" t="s">
        <v>25</v>
      </c>
      <c r="K21" s="125" t="s">
        <v>728</v>
      </c>
      <c r="L21" s="122"/>
      <c r="M21" s="122"/>
      <c r="N21" s="122"/>
      <c r="O21" s="122"/>
      <c r="P21" s="101"/>
      <c r="Q21" s="101"/>
      <c r="R21" s="101"/>
      <c r="S21" s="101"/>
      <c r="T21" s="101"/>
      <c r="U21" s="101"/>
      <c r="V21" s="101"/>
      <c r="W21" s="101"/>
      <c r="X21" s="101"/>
      <c r="Y21" s="101"/>
      <c r="Z21" s="101"/>
    </row>
    <row r="22" spans="1:26" ht="51.75" customHeight="1" thickTop="1" thickBot="1">
      <c r="A22" s="118" t="s">
        <v>729</v>
      </c>
      <c r="B22" s="118" t="s">
        <v>730</v>
      </c>
      <c r="C22" s="126"/>
      <c r="D22" s="126"/>
      <c r="E22" s="530" t="s">
        <v>731</v>
      </c>
      <c r="F22" s="531"/>
      <c r="G22" s="126"/>
      <c r="H22" s="126"/>
      <c r="I22" s="532"/>
      <c r="J22" s="533"/>
      <c r="K22" s="126"/>
      <c r="L22" s="126"/>
      <c r="M22" s="126"/>
      <c r="N22" s="126"/>
      <c r="O22" s="126"/>
      <c r="P22" s="101"/>
      <c r="Q22" s="101"/>
      <c r="R22" s="101"/>
      <c r="S22" s="101"/>
      <c r="T22" s="101"/>
      <c r="U22" s="101"/>
      <c r="V22" s="101"/>
      <c r="W22" s="101"/>
      <c r="X22" s="101"/>
      <c r="Y22" s="101"/>
      <c r="Z22" s="101"/>
    </row>
    <row r="23" spans="1:26" ht="51.75" customHeight="1" thickTop="1" thickBot="1">
      <c r="A23" s="118" t="s">
        <v>732</v>
      </c>
      <c r="B23" s="118" t="s">
        <v>733</v>
      </c>
      <c r="C23" s="126"/>
      <c r="D23" s="126"/>
      <c r="E23" s="126"/>
      <c r="F23" s="126"/>
      <c r="G23" s="126"/>
      <c r="H23" s="126"/>
      <c r="I23" s="122"/>
      <c r="J23" s="122"/>
      <c r="K23" s="126"/>
      <c r="L23" s="126"/>
      <c r="M23" s="126"/>
      <c r="N23" s="126"/>
      <c r="O23" s="126"/>
      <c r="P23" s="101"/>
      <c r="Q23" s="101"/>
      <c r="R23" s="101"/>
      <c r="S23" s="101"/>
      <c r="T23" s="101"/>
      <c r="U23" s="101"/>
      <c r="V23" s="101"/>
      <c r="W23" s="101"/>
      <c r="X23" s="101"/>
      <c r="Y23" s="101"/>
      <c r="Z23" s="101"/>
    </row>
    <row r="24" spans="1:26" ht="51.75" customHeight="1" thickTop="1">
      <c r="A24" s="126"/>
      <c r="B24" s="126"/>
      <c r="C24" s="126"/>
      <c r="D24" s="126"/>
      <c r="E24" s="126"/>
      <c r="F24" s="126"/>
      <c r="G24" s="126"/>
      <c r="H24" s="126"/>
      <c r="I24" s="122"/>
      <c r="J24" s="122"/>
      <c r="K24" s="126"/>
      <c r="L24" s="126"/>
      <c r="M24" s="126"/>
      <c r="N24" s="126"/>
      <c r="O24" s="126"/>
      <c r="P24" s="101"/>
      <c r="Q24" s="101"/>
      <c r="R24" s="101"/>
      <c r="S24" s="101"/>
      <c r="T24" s="101"/>
      <c r="U24" s="101"/>
      <c r="V24" s="101"/>
      <c r="W24" s="101"/>
      <c r="X24" s="101"/>
      <c r="Y24" s="101"/>
      <c r="Z24" s="101"/>
    </row>
    <row r="25" spans="1:26" ht="51.75" customHeight="1">
      <c r="A25" s="126"/>
      <c r="B25" s="126"/>
      <c r="C25" s="126"/>
      <c r="D25" s="126"/>
      <c r="E25" s="126"/>
      <c r="F25" s="126"/>
      <c r="G25" s="126"/>
      <c r="H25" s="126"/>
      <c r="I25" s="122"/>
      <c r="J25" s="122"/>
      <c r="K25" s="126"/>
      <c r="L25" s="126"/>
      <c r="M25" s="126"/>
      <c r="N25" s="126"/>
      <c r="O25" s="126"/>
      <c r="P25" s="101"/>
      <c r="Q25" s="101"/>
      <c r="R25" s="101"/>
      <c r="S25" s="101"/>
      <c r="T25" s="101"/>
      <c r="U25" s="101"/>
      <c r="V25" s="101"/>
      <c r="W25" s="101"/>
      <c r="X25" s="101"/>
      <c r="Y25" s="101"/>
      <c r="Z25" s="101"/>
    </row>
    <row r="26" spans="1:26" ht="51.75" customHeight="1">
      <c r="A26" s="126"/>
      <c r="B26" s="126"/>
      <c r="C26" s="126"/>
      <c r="D26" s="126"/>
      <c r="E26" s="126"/>
      <c r="F26" s="126"/>
      <c r="G26" s="126"/>
      <c r="H26" s="126"/>
      <c r="I26" s="548"/>
      <c r="J26" s="533"/>
      <c r="K26" s="126"/>
      <c r="L26" s="126"/>
      <c r="M26" s="126"/>
      <c r="N26" s="126"/>
      <c r="O26" s="126"/>
      <c r="P26" s="101"/>
      <c r="Q26" s="101"/>
      <c r="R26" s="101"/>
      <c r="S26" s="101"/>
      <c r="T26" s="101"/>
      <c r="U26" s="101"/>
      <c r="V26" s="101"/>
      <c r="W26" s="101"/>
      <c r="X26" s="101"/>
      <c r="Y26" s="101"/>
      <c r="Z26" s="101"/>
    </row>
    <row r="27" spans="1:26" ht="51.75" customHeight="1">
      <c r="A27" s="126"/>
      <c r="B27" s="126"/>
      <c r="C27" s="126"/>
      <c r="D27" s="126"/>
      <c r="E27" s="126"/>
      <c r="F27" s="126"/>
      <c r="G27" s="126"/>
      <c r="H27" s="126"/>
      <c r="I27" s="122"/>
      <c r="J27" s="122"/>
      <c r="K27" s="126"/>
      <c r="L27" s="126"/>
      <c r="M27" s="126"/>
      <c r="N27" s="126"/>
      <c r="O27" s="126"/>
      <c r="P27" s="101"/>
      <c r="Q27" s="101"/>
      <c r="R27" s="101"/>
      <c r="S27" s="101"/>
      <c r="T27" s="101"/>
      <c r="U27" s="101"/>
      <c r="V27" s="101"/>
      <c r="W27" s="101"/>
      <c r="X27" s="101"/>
      <c r="Y27" s="101"/>
      <c r="Z27" s="101"/>
    </row>
    <row r="28" spans="1:26" ht="51.75" customHeight="1">
      <c r="A28" s="126"/>
      <c r="B28" s="126"/>
      <c r="C28" s="126"/>
      <c r="D28" s="126"/>
      <c r="E28" s="126"/>
      <c r="F28" s="126"/>
      <c r="G28" s="126"/>
      <c r="H28" s="126"/>
      <c r="I28" s="122"/>
      <c r="J28" s="122"/>
      <c r="K28" s="126"/>
      <c r="L28" s="126"/>
      <c r="M28" s="126"/>
      <c r="N28" s="126"/>
      <c r="O28" s="126"/>
      <c r="P28" s="101"/>
      <c r="Q28" s="101"/>
      <c r="R28" s="101"/>
      <c r="S28" s="101"/>
      <c r="T28" s="101"/>
      <c r="U28" s="101"/>
      <c r="V28" s="101"/>
      <c r="W28" s="101"/>
      <c r="X28" s="101"/>
      <c r="Y28" s="101"/>
      <c r="Z28" s="101"/>
    </row>
    <row r="29" spans="1:26" ht="51.75" customHeight="1">
      <c r="A29" s="126"/>
      <c r="B29" s="126"/>
      <c r="C29" s="126"/>
      <c r="D29" s="126"/>
      <c r="E29" s="126"/>
      <c r="F29" s="126"/>
      <c r="G29" s="126"/>
      <c r="H29" s="126"/>
      <c r="I29" s="126"/>
      <c r="J29" s="126"/>
      <c r="K29" s="126"/>
      <c r="L29" s="126"/>
      <c r="M29" s="126"/>
      <c r="N29" s="126"/>
      <c r="O29" s="126"/>
      <c r="P29" s="101"/>
      <c r="Q29" s="101"/>
      <c r="R29" s="101"/>
      <c r="S29" s="101"/>
      <c r="T29" s="101"/>
      <c r="U29" s="101"/>
      <c r="V29" s="101"/>
      <c r="W29" s="101"/>
      <c r="X29" s="101"/>
      <c r="Y29" s="101"/>
      <c r="Z29" s="101"/>
    </row>
    <row r="30" spans="1:26" ht="51.75" customHeight="1">
      <c r="A30" s="101"/>
      <c r="B30" s="101"/>
      <c r="C30" s="101"/>
      <c r="D30" s="101"/>
      <c r="E30" s="101"/>
      <c r="F30" s="101"/>
      <c r="G30" s="101"/>
      <c r="H30" s="101"/>
      <c r="I30" s="101"/>
      <c r="J30" s="101"/>
      <c r="K30" s="101"/>
      <c r="L30" s="101"/>
      <c r="M30" s="101"/>
      <c r="N30" s="101"/>
      <c r="O30" s="101"/>
      <c r="P30" s="101"/>
      <c r="Q30" s="101"/>
      <c r="R30" s="101"/>
      <c r="S30" s="101"/>
      <c r="T30" s="101"/>
      <c r="U30" s="101"/>
      <c r="V30" s="101"/>
      <c r="W30" s="101"/>
      <c r="X30" s="101"/>
      <c r="Y30" s="101"/>
      <c r="Z30" s="101"/>
    </row>
    <row r="31" spans="1:26" ht="12.75">
      <c r="A31" s="101"/>
      <c r="B31" s="101"/>
      <c r="C31" s="101"/>
      <c r="D31" s="101"/>
      <c r="E31" s="101"/>
      <c r="F31" s="101"/>
      <c r="G31" s="101"/>
      <c r="H31" s="101"/>
      <c r="I31" s="101"/>
      <c r="J31" s="101"/>
      <c r="K31" s="101"/>
      <c r="L31" s="101"/>
      <c r="M31" s="101"/>
      <c r="N31" s="101"/>
      <c r="O31" s="101"/>
      <c r="P31" s="101"/>
      <c r="Q31" s="101"/>
      <c r="R31" s="101"/>
      <c r="S31" s="101"/>
      <c r="T31" s="101"/>
      <c r="U31" s="101"/>
      <c r="V31" s="101"/>
      <c r="W31" s="101"/>
      <c r="X31" s="101"/>
      <c r="Y31" s="101"/>
      <c r="Z31" s="101"/>
    </row>
    <row r="32" spans="1:26" ht="12.75">
      <c r="A32" s="101"/>
      <c r="B32" s="101"/>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row>
    <row r="33" spans="1:26" ht="12.75">
      <c r="A33" s="101"/>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row>
    <row r="34" spans="1:26" ht="12.75">
      <c r="A34" s="101"/>
      <c r="B34" s="101"/>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row>
    <row r="35" spans="1:26" ht="12.75">
      <c r="A35" s="101"/>
      <c r="B35" s="101"/>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row>
    <row r="36" spans="1:26" ht="12.75"/>
    <row r="37" spans="1:26" ht="12.75"/>
    <row r="38" spans="1:26" ht="12.75"/>
    <row r="39" spans="1:26" ht="12.75"/>
    <row r="40" spans="1:26" ht="12.75"/>
    <row r="41" spans="1:26" ht="12.75"/>
    <row r="42" spans="1:26" ht="12.75"/>
    <row r="43" spans="1:26" ht="12.75"/>
    <row r="44" spans="1:26" ht="23.25">
      <c r="A44" s="547"/>
      <c r="B44" s="535"/>
      <c r="C44" s="536"/>
      <c r="D44" s="547" t="s">
        <v>200</v>
      </c>
      <c r="E44" s="535"/>
      <c r="F44" s="536"/>
      <c r="G44" s="547"/>
      <c r="H44" s="535"/>
      <c r="I44" s="536"/>
      <c r="J44" s="547"/>
      <c r="K44" s="535"/>
      <c r="L44" s="536"/>
      <c r="M44" s="547"/>
      <c r="N44" s="535"/>
      <c r="O44" s="536"/>
    </row>
    <row r="45" spans="1:26" ht="15">
      <c r="A45" s="127"/>
      <c r="B45" s="128"/>
      <c r="C45" s="129"/>
      <c r="D45" s="130" t="s">
        <v>433</v>
      </c>
      <c r="E45" s="131" t="s">
        <v>434</v>
      </c>
      <c r="F45" s="132" t="s">
        <v>435</v>
      </c>
      <c r="G45" s="130"/>
      <c r="H45" s="131"/>
      <c r="I45" s="132"/>
      <c r="J45" s="130"/>
      <c r="K45" s="131"/>
      <c r="L45" s="132"/>
      <c r="M45" s="130"/>
      <c r="N45" s="131"/>
      <c r="O45" s="132"/>
    </row>
    <row r="46" spans="1:26" ht="25.5">
      <c r="A46" s="133"/>
      <c r="B46" s="134"/>
      <c r="C46" s="135"/>
      <c r="D46" s="133" t="s">
        <v>448</v>
      </c>
      <c r="E46" s="134" t="s">
        <v>449</v>
      </c>
      <c r="F46" s="135" t="s">
        <v>64</v>
      </c>
      <c r="G46" s="133"/>
      <c r="H46" s="134"/>
      <c r="I46" s="135"/>
      <c r="J46" s="133"/>
      <c r="K46" s="134"/>
      <c r="L46" s="135"/>
      <c r="M46" s="133"/>
      <c r="N46" s="134"/>
      <c r="O46" s="135"/>
    </row>
    <row r="47" spans="1:26" ht="12.75">
      <c r="A47" s="133"/>
      <c r="B47" s="134"/>
      <c r="C47" s="135"/>
      <c r="D47" s="133" t="s">
        <v>462</v>
      </c>
      <c r="E47" s="134" t="s">
        <v>463</v>
      </c>
      <c r="F47" s="135" t="s">
        <v>464</v>
      </c>
      <c r="G47" s="133"/>
      <c r="H47" s="134"/>
      <c r="I47" s="135"/>
      <c r="J47" s="133"/>
      <c r="K47" s="134"/>
      <c r="L47" s="135"/>
      <c r="M47" s="133"/>
      <c r="N47" s="134"/>
      <c r="O47" s="135"/>
    </row>
    <row r="48" spans="1:26" ht="12.75">
      <c r="A48" s="136"/>
      <c r="B48" s="137"/>
      <c r="C48" s="138"/>
      <c r="D48" s="136" t="s">
        <v>477</v>
      </c>
      <c r="E48" s="137" t="s">
        <v>478</v>
      </c>
      <c r="F48" s="138" t="s">
        <v>479</v>
      </c>
      <c r="G48" s="136"/>
      <c r="H48" s="137"/>
      <c r="I48" s="138"/>
      <c r="J48" s="136"/>
      <c r="K48" s="137"/>
      <c r="L48" s="138"/>
      <c r="M48" s="136"/>
      <c r="N48" s="137"/>
      <c r="O48" s="138"/>
    </row>
    <row r="49" spans="1:15" ht="12.75">
      <c r="A49" s="133"/>
      <c r="B49" s="134"/>
      <c r="C49" s="134"/>
      <c r="D49" s="134"/>
      <c r="E49" s="134"/>
      <c r="F49" s="134"/>
      <c r="G49" s="134"/>
      <c r="H49" s="134"/>
      <c r="I49" s="134"/>
      <c r="J49" s="134"/>
      <c r="K49" s="134"/>
      <c r="L49" s="134"/>
      <c r="M49" s="134"/>
      <c r="N49" s="134"/>
      <c r="O49" s="135"/>
    </row>
    <row r="50" spans="1:15" ht="23.25">
      <c r="A50" s="547"/>
      <c r="B50" s="535"/>
      <c r="C50" s="536"/>
      <c r="D50" s="547"/>
      <c r="E50" s="535"/>
      <c r="F50" s="536"/>
      <c r="G50" s="547"/>
      <c r="H50" s="535"/>
      <c r="I50" s="536"/>
      <c r="J50" s="547"/>
      <c r="K50" s="535"/>
      <c r="L50" s="536"/>
      <c r="M50" s="547" t="s">
        <v>242</v>
      </c>
      <c r="N50" s="535"/>
      <c r="O50" s="536"/>
    </row>
    <row r="51" spans="1:15" ht="12.75">
      <c r="A51" s="130"/>
      <c r="B51" s="131"/>
      <c r="C51" s="132"/>
      <c r="D51" s="130"/>
      <c r="E51" s="131"/>
      <c r="F51" s="132"/>
      <c r="G51" s="139"/>
      <c r="H51" s="139"/>
      <c r="I51" s="140"/>
      <c r="J51" s="130"/>
      <c r="K51" s="131"/>
      <c r="L51" s="141"/>
      <c r="M51" s="130" t="s">
        <v>501</v>
      </c>
      <c r="N51" s="131" t="s">
        <v>502</v>
      </c>
      <c r="O51" s="132" t="s">
        <v>503</v>
      </c>
    </row>
    <row r="52" spans="1:15" ht="12.75">
      <c r="A52" s="133"/>
      <c r="B52" s="134"/>
      <c r="C52" s="135"/>
      <c r="D52" s="133"/>
      <c r="E52" s="134"/>
      <c r="F52" s="135"/>
      <c r="G52" s="142"/>
      <c r="H52" s="142"/>
      <c r="I52" s="142"/>
      <c r="J52" s="133"/>
      <c r="K52" s="134"/>
      <c r="L52" s="135"/>
      <c r="M52" s="133" t="s">
        <v>516</v>
      </c>
      <c r="N52" s="134" t="s">
        <v>517</v>
      </c>
      <c r="O52" s="135" t="s">
        <v>518</v>
      </c>
    </row>
    <row r="53" spans="1:15" ht="25.5">
      <c r="A53" s="133"/>
      <c r="B53" s="134"/>
      <c r="C53" s="135"/>
      <c r="D53" s="133"/>
      <c r="E53" s="134"/>
      <c r="F53" s="135"/>
      <c r="G53" s="142"/>
      <c r="H53" s="142"/>
      <c r="I53" s="142"/>
      <c r="J53" s="133"/>
      <c r="K53" s="134"/>
      <c r="L53" s="135"/>
      <c r="M53" s="133" t="s">
        <v>531</v>
      </c>
      <c r="N53" s="134" t="s">
        <v>532</v>
      </c>
      <c r="O53" s="143" t="s">
        <v>533</v>
      </c>
    </row>
    <row r="54" spans="1:15" ht="12.75">
      <c r="A54" s="136"/>
      <c r="B54" s="137"/>
      <c r="C54" s="138"/>
      <c r="D54" s="136"/>
      <c r="E54" s="137"/>
      <c r="F54" s="138"/>
      <c r="G54" s="144"/>
      <c r="H54" s="144"/>
      <c r="I54" s="144"/>
      <c r="J54" s="136"/>
      <c r="K54" s="137"/>
      <c r="L54" s="138"/>
      <c r="M54" s="136" t="s">
        <v>546</v>
      </c>
      <c r="N54" s="137" t="s">
        <v>547</v>
      </c>
      <c r="O54" s="138" t="s">
        <v>548</v>
      </c>
    </row>
    <row r="55" spans="1:15" ht="12.75"/>
    <row r="56" spans="1:15" ht="12.75"/>
    <row r="57" spans="1:15" ht="12.75"/>
    <row r="58" spans="1:15" ht="12.75"/>
    <row r="59" spans="1:15" ht="12.75"/>
    <row r="60" spans="1:15" ht="12.75"/>
    <row r="61" spans="1:15" ht="12.75"/>
    <row r="62" spans="1:15" ht="12.75"/>
    <row r="63" spans="1:15" ht="12.75"/>
    <row r="64" spans="1:15" ht="12.75"/>
    <row r="65" ht="12.75"/>
    <row r="66" ht="12.75"/>
    <row r="67" ht="12.75"/>
    <row r="68" ht="12.75"/>
    <row r="69" ht="12.75"/>
    <row r="70" ht="12.75"/>
    <row r="71" ht="12.75"/>
    <row r="72" ht="12.75"/>
    <row r="73" ht="12.75"/>
    <row r="74" ht="12.75"/>
    <row r="75" ht="12.75"/>
    <row r="76" ht="12.75"/>
    <row r="77" ht="12.75"/>
    <row r="78" ht="12.75"/>
    <row r="79" ht="12.75"/>
    <row r="80" ht="12.75"/>
    <row r="81" ht="12.75"/>
    <row r="82" ht="12.75"/>
    <row r="83" ht="12.75"/>
    <row r="84" ht="12.75"/>
    <row r="85" ht="12.75"/>
    <row r="86" ht="12.75"/>
    <row r="87" ht="12.75"/>
    <row r="88" ht="12.75"/>
    <row r="89" ht="12.75"/>
    <row r="90" ht="12.75"/>
    <row r="91" ht="12.75"/>
    <row r="92" ht="12.75"/>
    <row r="93" ht="12.75"/>
    <row r="94" ht="12.75"/>
    <row r="95" ht="12.75"/>
    <row r="96" ht="12.75"/>
    <row r="97" ht="12.75"/>
    <row r="98" ht="12.75"/>
    <row r="99" ht="12.75"/>
    <row r="100" ht="12.75"/>
    <row r="101" ht="12.75"/>
    <row r="102" ht="12.75"/>
    <row r="103" ht="12.75"/>
    <row r="104" ht="12.75"/>
    <row r="105" ht="12.75"/>
    <row r="106" ht="12.75"/>
    <row r="107" ht="12.75"/>
    <row r="108" ht="12.75"/>
    <row r="109" ht="12.75"/>
    <row r="110" ht="12.75"/>
    <row r="111" ht="12.75"/>
    <row r="112" ht="12.75"/>
    <row r="113" ht="12.75"/>
    <row r="114" ht="12.75"/>
    <row r="115" ht="12.75"/>
    <row r="116" ht="12.75"/>
    <row r="117" ht="12.75"/>
    <row r="118" ht="12.75"/>
    <row r="119" ht="12.75"/>
    <row r="120" ht="12.75"/>
    <row r="121" ht="12.75"/>
    <row r="122" ht="12.75"/>
    <row r="123" ht="12.75"/>
    <row r="124" ht="12.75"/>
    <row r="125" ht="12.75"/>
    <row r="126" ht="12.75"/>
    <row r="127" ht="12.75"/>
    <row r="128" ht="12.75"/>
    <row r="129" ht="12.75"/>
    <row r="130" ht="12.75"/>
    <row r="131" ht="12.75"/>
    <row r="132" ht="12.75"/>
    <row r="133" ht="12.75"/>
    <row r="134" ht="12.75"/>
    <row r="135" ht="12.75"/>
    <row r="136" ht="12.75"/>
    <row r="137" ht="12.75"/>
    <row r="138" ht="12.75"/>
    <row r="139" ht="12.75"/>
    <row r="140" ht="12.75"/>
    <row r="141" ht="12.75"/>
    <row r="142" ht="12.75"/>
    <row r="143" ht="12.75"/>
    <row r="144" ht="12.75"/>
    <row r="145" ht="12.75"/>
    <row r="146" ht="12.75"/>
    <row r="147" ht="12.75"/>
    <row r="148" ht="12.75"/>
    <row r="149" ht="12.75"/>
    <row r="150" ht="12.75"/>
    <row r="151" ht="12.75"/>
    <row r="152" ht="12.75"/>
    <row r="153" ht="12.75"/>
    <row r="154" ht="12.75"/>
    <row r="155" ht="12.75"/>
    <row r="156" ht="12.75"/>
    <row r="157" ht="12.75"/>
    <row r="158" ht="12.75"/>
    <row r="159" ht="12.75"/>
    <row r="160" ht="12.75"/>
    <row r="161" ht="12.75"/>
    <row r="162" ht="12.75"/>
    <row r="163" ht="12.75"/>
    <row r="164" ht="12.75"/>
    <row r="165" ht="12.75"/>
    <row r="166" ht="12.75"/>
    <row r="167" ht="12.75"/>
    <row r="168" ht="12.75"/>
    <row r="169" ht="12.75"/>
    <row r="170" ht="12.75"/>
    <row r="171" ht="12.75"/>
    <row r="172" ht="12.75"/>
    <row r="173" ht="12.75"/>
    <row r="174" ht="12.75"/>
    <row r="175" ht="12.75"/>
    <row r="176" ht="12.75"/>
    <row r="177" ht="12.75"/>
    <row r="178" ht="12.75"/>
    <row r="179" ht="12.75"/>
    <row r="180" ht="12.75"/>
    <row r="181" ht="12.75"/>
    <row r="182" ht="12.75"/>
    <row r="183" ht="12.75"/>
    <row r="184" ht="12.75"/>
    <row r="185" ht="12.75"/>
    <row r="186" ht="12.75"/>
    <row r="187" ht="12.75"/>
    <row r="188" ht="12.75"/>
    <row r="189" ht="12.75"/>
    <row r="190" ht="12.75"/>
    <row r="191" ht="12.75"/>
    <row r="192" ht="12.75"/>
    <row r="193" ht="12.75"/>
    <row r="194" ht="12.75"/>
    <row r="195" ht="12.75"/>
    <row r="196" ht="12.75"/>
    <row r="197" ht="12.75"/>
    <row r="198" ht="12.75"/>
    <row r="199" ht="12.75"/>
    <row r="200" ht="12.75"/>
    <row r="201" ht="12.75"/>
    <row r="202" ht="12.75"/>
    <row r="203" ht="12.75"/>
    <row r="204" ht="12.75"/>
    <row r="205" ht="12.75"/>
    <row r="206" ht="12.75"/>
    <row r="207" ht="12.75"/>
    <row r="208" ht="12.75"/>
    <row r="209" ht="12.75"/>
    <row r="210" ht="12.75"/>
    <row r="211" ht="12.75"/>
    <row r="212" ht="12.75"/>
    <row r="213" ht="12.75"/>
    <row r="214" ht="12.75"/>
    <row r="215" ht="12.75"/>
    <row r="216" ht="12.75"/>
    <row r="217" ht="12.75"/>
    <row r="218" ht="12.75"/>
    <row r="219" ht="12.75"/>
    <row r="220" ht="12.75"/>
    <row r="221" ht="12.75"/>
    <row r="222" ht="12.75"/>
    <row r="223" ht="12.75"/>
    <row r="224" ht="12.75"/>
    <row r="225" ht="12.75"/>
    <row r="226" ht="12.75"/>
    <row r="227" ht="12.75"/>
    <row r="228" ht="12.75"/>
    <row r="229" ht="12.75"/>
    <row r="230" ht="12.75"/>
    <row r="231" ht="12.75"/>
    <row r="232" ht="12.75"/>
    <row r="233" ht="12.75"/>
    <row r="234" ht="12.75"/>
    <row r="235" ht="12.75"/>
    <row r="236" ht="12.75"/>
    <row r="237" ht="12.75"/>
    <row r="238" ht="12.75"/>
    <row r="239" ht="12.75"/>
    <row r="240" ht="12.75"/>
    <row r="241" ht="12.75"/>
    <row r="242" ht="12.75"/>
    <row r="243" ht="12.75"/>
    <row r="244" ht="12.75"/>
    <row r="245" ht="12.75"/>
    <row r="246" ht="12.75"/>
    <row r="247" ht="12.75"/>
    <row r="248" ht="12.75"/>
    <row r="249" ht="12.75"/>
    <row r="250" ht="12.75"/>
    <row r="251" ht="12.75"/>
    <row r="252" ht="12.75"/>
    <row r="253" ht="12.75"/>
    <row r="254" ht="12.75"/>
    <row r="255" ht="12.75"/>
    <row r="256" ht="12.75"/>
    <row r="257" ht="12.75"/>
    <row r="258" ht="12.75"/>
    <row r="259" ht="12.75"/>
    <row r="260" ht="12.75"/>
    <row r="261" ht="12.75"/>
    <row r="262" ht="12.75"/>
    <row r="263" ht="12.75"/>
    <row r="264" ht="12.75"/>
    <row r="265" ht="12.75"/>
    <row r="266" ht="12.75"/>
    <row r="267" ht="12.75"/>
    <row r="268" ht="12.75"/>
    <row r="269" ht="12.75"/>
    <row r="270" ht="12.75"/>
    <row r="271" ht="12.75"/>
    <row r="272" ht="12.75"/>
    <row r="273" ht="12.75"/>
    <row r="274" ht="12.75"/>
    <row r="275" ht="12.75"/>
    <row r="276" ht="12.75"/>
    <row r="277" ht="12.75"/>
    <row r="278" ht="12.75"/>
    <row r="279" ht="12.75"/>
    <row r="280" ht="12.75"/>
    <row r="281" ht="12.75"/>
    <row r="282" ht="12.75"/>
    <row r="283" ht="12.75"/>
    <row r="284" ht="12.75"/>
    <row r="285" ht="12.75"/>
    <row r="286" ht="12.75"/>
    <row r="287" ht="12.75"/>
    <row r="288" ht="12.75"/>
    <row r="289" ht="12.75"/>
    <row r="290" ht="12.75"/>
    <row r="291" ht="12.75"/>
    <row r="292" ht="12.75"/>
    <row r="293" ht="12.75"/>
    <row r="294" ht="12.75"/>
    <row r="295" ht="12.75"/>
    <row r="296" ht="12.75"/>
    <row r="297" ht="12.75"/>
    <row r="298" ht="12.75"/>
    <row r="299" ht="12.75"/>
    <row r="300" ht="12.75"/>
    <row r="301" ht="12.75"/>
    <row r="302" ht="12.75"/>
    <row r="303" ht="12.75"/>
    <row r="304" ht="12.75"/>
    <row r="305" ht="12.75"/>
    <row r="306" ht="12.75"/>
    <row r="307" ht="12.75"/>
    <row r="308" ht="12.75"/>
    <row r="309" ht="12.75"/>
    <row r="310" ht="12.75"/>
    <row r="311" ht="12.75"/>
    <row r="312" ht="12.75"/>
    <row r="313" ht="12.75"/>
    <row r="314" ht="12.75"/>
    <row r="315" ht="12.75"/>
    <row r="316" ht="12.75"/>
    <row r="317" ht="12.75"/>
    <row r="318" ht="12.75"/>
    <row r="319" ht="12.75"/>
    <row r="320" ht="12.75"/>
    <row r="321" ht="12.75"/>
    <row r="322" ht="12.75"/>
    <row r="323" ht="12.75"/>
    <row r="324" ht="12.75"/>
    <row r="325" ht="12.75"/>
    <row r="326" ht="12.75"/>
    <row r="327" ht="12.75"/>
    <row r="328" ht="12.75"/>
    <row r="329" ht="12.75"/>
    <row r="330" ht="12.75"/>
    <row r="331" ht="12.75"/>
    <row r="332" ht="12.75"/>
    <row r="333" ht="12.75"/>
    <row r="334" ht="12.75"/>
    <row r="335" ht="12.75"/>
    <row r="336" ht="12.75"/>
    <row r="337" ht="12.75"/>
    <row r="338" ht="12.75"/>
    <row r="339" ht="12.75"/>
    <row r="340" ht="12.75"/>
    <row r="341" ht="12.75"/>
    <row r="342" ht="12.75"/>
    <row r="343" ht="12.75"/>
    <row r="344" ht="12.75"/>
    <row r="345" ht="12.75"/>
    <row r="346" ht="12.75"/>
    <row r="347" ht="12.75"/>
    <row r="348" ht="12.75"/>
    <row r="349" ht="12.75"/>
    <row r="350" ht="12.75"/>
    <row r="351" ht="12.75"/>
    <row r="352" ht="12.75"/>
    <row r="353" ht="12.75"/>
    <row r="354" ht="12.75"/>
    <row r="355" ht="12.75"/>
    <row r="356" ht="12.75"/>
    <row r="357" ht="12.75"/>
    <row r="358" ht="12.75"/>
    <row r="359" ht="12.75"/>
    <row r="360" ht="12.75"/>
    <row r="361" ht="12.75"/>
    <row r="362" ht="12.75"/>
    <row r="363" ht="12.75"/>
    <row r="364" ht="12.75"/>
    <row r="365" ht="12.75"/>
    <row r="366" ht="12.75"/>
    <row r="367" ht="12.75"/>
    <row r="368" ht="12.75"/>
    <row r="369" ht="12.75"/>
    <row r="370" ht="12.75"/>
    <row r="371" ht="12.75"/>
    <row r="372" ht="12.75"/>
    <row r="373" ht="12.75"/>
    <row r="374" ht="12.75"/>
    <row r="375" ht="12.75"/>
    <row r="376" ht="12.75"/>
    <row r="377" ht="12.75"/>
    <row r="378" ht="12.75"/>
    <row r="379" ht="12.75"/>
    <row r="380" ht="12.75"/>
    <row r="381" ht="12.75"/>
    <row r="382" ht="12.75"/>
    <row r="383" ht="12.75"/>
    <row r="384" ht="12.75"/>
    <row r="385" ht="12.75"/>
    <row r="386" ht="12.75"/>
    <row r="387" ht="12.75"/>
    <row r="388" ht="12.75"/>
    <row r="389" ht="12.75"/>
    <row r="390" ht="12.75"/>
    <row r="391" ht="12.75"/>
    <row r="392" ht="12.75"/>
    <row r="393" ht="12.75"/>
    <row r="394" ht="12.75"/>
    <row r="395" ht="12.75"/>
    <row r="396" ht="12.75"/>
    <row r="397" ht="12.75"/>
    <row r="398" ht="12.75"/>
    <row r="399" ht="12.75"/>
    <row r="400" ht="12.75"/>
    <row r="401" ht="12.75"/>
    <row r="402" ht="12.75"/>
    <row r="403" ht="12.75"/>
    <row r="404" ht="12.75"/>
    <row r="405" ht="12.75"/>
    <row r="406" ht="12.75"/>
    <row r="407" ht="12.75"/>
    <row r="408" ht="12.75"/>
    <row r="409" ht="12.75"/>
    <row r="410" ht="12.75"/>
    <row r="411" ht="12.75"/>
    <row r="412" ht="12.75"/>
    <row r="413" ht="12.75"/>
    <row r="414" ht="12.75"/>
    <row r="415" ht="12.75"/>
    <row r="416" ht="12.75"/>
    <row r="417" ht="12.75"/>
    <row r="418" ht="12.75"/>
    <row r="419" ht="12.75"/>
    <row r="420" ht="12.75"/>
    <row r="421" ht="12.75"/>
    <row r="422" ht="12.75"/>
    <row r="423" ht="12.75"/>
    <row r="424" ht="12.75"/>
    <row r="425" ht="12.75"/>
    <row r="426" ht="12.75"/>
    <row r="427" ht="12.75"/>
    <row r="428" ht="12.75"/>
    <row r="429" ht="12.75"/>
    <row r="430" ht="12.75"/>
    <row r="431" ht="12.75"/>
    <row r="432" ht="12.75"/>
    <row r="433" ht="12.75"/>
    <row r="434" ht="12.75"/>
    <row r="435" ht="12.75"/>
    <row r="436" ht="12.75"/>
    <row r="437" ht="12.75"/>
    <row r="438" ht="12.75"/>
    <row r="439" ht="12.75"/>
    <row r="440" ht="12.75"/>
    <row r="441" ht="12.75"/>
    <row r="442" ht="12.75"/>
    <row r="443" ht="12.75"/>
    <row r="444" ht="12.75"/>
    <row r="445" ht="12.75"/>
    <row r="446" ht="12.75"/>
    <row r="447" ht="12.75"/>
    <row r="448" ht="12.75"/>
    <row r="449" ht="12.75"/>
    <row r="450" ht="12.75"/>
    <row r="451" ht="12.75"/>
    <row r="452" ht="12.75"/>
    <row r="453" ht="12.75"/>
    <row r="454" ht="12.75"/>
    <row r="455" ht="12.75"/>
    <row r="456" ht="12.75"/>
    <row r="457" ht="12.75"/>
    <row r="458" ht="12.75"/>
    <row r="459" ht="12.75"/>
    <row r="460" ht="12.75"/>
    <row r="461" ht="12.75"/>
    <row r="462" ht="12.75"/>
    <row r="463" ht="12.75"/>
    <row r="464" ht="12.75"/>
    <row r="465" ht="12.75"/>
    <row r="466" ht="12.75"/>
    <row r="467" ht="12.75"/>
    <row r="468" ht="12.75"/>
    <row r="469" ht="12.75"/>
    <row r="470" ht="12.75"/>
    <row r="471" ht="12.75"/>
    <row r="472" ht="12.75"/>
    <row r="473" ht="12.75"/>
    <row r="474" ht="12.75"/>
    <row r="475" ht="12.75"/>
    <row r="476" ht="12.75"/>
    <row r="477" ht="12.75"/>
    <row r="478" ht="12.75"/>
    <row r="479" ht="12.75"/>
    <row r="480" ht="12.75"/>
    <row r="481" ht="12.75"/>
    <row r="482" ht="12.75"/>
    <row r="483" ht="12.75"/>
    <row r="484" ht="12.75"/>
    <row r="485" ht="12.75"/>
    <row r="486" ht="12.75"/>
    <row r="487" ht="12.75"/>
    <row r="488" ht="12.75"/>
    <row r="489" ht="12.75"/>
    <row r="490" ht="12.75"/>
    <row r="491" ht="12.75"/>
    <row r="492" ht="12.75"/>
    <row r="493" ht="12.75"/>
    <row r="494" ht="12.75"/>
    <row r="495" ht="12.75"/>
    <row r="496" ht="12.75"/>
    <row r="497" ht="12.75"/>
    <row r="498" ht="12.75"/>
    <row r="499" ht="12.75"/>
    <row r="500" ht="12.75"/>
    <row r="501" ht="12.75"/>
    <row r="502" ht="12.75"/>
    <row r="503" ht="12.75"/>
    <row r="504" ht="12.75"/>
    <row r="505" ht="12.75"/>
    <row r="506" ht="12.75"/>
    <row r="507" ht="12.75"/>
    <row r="508" ht="12.75"/>
    <row r="509" ht="12.75"/>
    <row r="510" ht="12.75"/>
    <row r="511" ht="12.75"/>
    <row r="512" ht="12.75"/>
    <row r="513" ht="12.75"/>
    <row r="514" ht="12.75"/>
    <row r="515" ht="12.75"/>
    <row r="516" ht="12.75"/>
    <row r="517" ht="12.75"/>
    <row r="518" ht="12.75"/>
    <row r="519" ht="12.75"/>
    <row r="520" ht="12.75"/>
    <row r="521" ht="12.75"/>
    <row r="522" ht="12.75"/>
    <row r="523" ht="12.75"/>
    <row r="524" ht="12.75"/>
    <row r="525" ht="12.75"/>
    <row r="526" ht="12.75"/>
    <row r="527" ht="12.75"/>
    <row r="528" ht="12.75"/>
    <row r="529" ht="12.75"/>
    <row r="530" ht="12.75"/>
    <row r="531" ht="12.75"/>
    <row r="532" ht="12.75"/>
    <row r="533" ht="12.75"/>
    <row r="534" ht="12.75"/>
    <row r="535" ht="12.75"/>
    <row r="536" ht="12.75"/>
    <row r="537" ht="12.75"/>
    <row r="538" ht="12.75"/>
    <row r="539" ht="12.75"/>
    <row r="540" ht="12.75"/>
    <row r="541" ht="12.75"/>
    <row r="542" ht="12.75"/>
    <row r="543" ht="12.75"/>
    <row r="544" ht="12.75"/>
    <row r="545" ht="12.75"/>
    <row r="546" ht="12.75"/>
    <row r="547" ht="12.75"/>
    <row r="548" ht="12.75"/>
    <row r="549" ht="12.75"/>
    <row r="550" ht="12.75"/>
    <row r="551" ht="12.75"/>
    <row r="552" ht="12.75"/>
    <row r="553" ht="12.75"/>
    <row r="554" ht="12.75"/>
    <row r="555" ht="12.75"/>
    <row r="556" ht="12.75"/>
    <row r="557" ht="12.75"/>
    <row r="558" ht="12.75"/>
    <row r="559" ht="12.75"/>
    <row r="560" ht="12.75"/>
    <row r="561" ht="12.75"/>
    <row r="562" ht="12.75"/>
    <row r="563" ht="12.75"/>
    <row r="564" ht="12.75"/>
    <row r="565" ht="12.75"/>
    <row r="566" ht="12.75"/>
    <row r="567" ht="12.75"/>
    <row r="568" ht="12.75"/>
    <row r="569" ht="12.75"/>
    <row r="570" ht="12.75"/>
    <row r="571" ht="12.75"/>
    <row r="572" ht="12.75"/>
    <row r="573" ht="12.75"/>
    <row r="574" ht="12.75"/>
    <row r="575" ht="12.75"/>
    <row r="576" ht="12.75"/>
    <row r="577" ht="12.75"/>
    <row r="578" ht="12.75"/>
    <row r="579" ht="12.75"/>
    <row r="580" ht="12.75"/>
    <row r="581" ht="12.75"/>
    <row r="582" ht="12.75"/>
    <row r="583" ht="12.75"/>
    <row r="584" ht="12.75"/>
    <row r="585" ht="12.75"/>
    <row r="586" ht="12.75"/>
    <row r="587" ht="12.75"/>
    <row r="588" ht="12.75"/>
    <row r="589" ht="12.75"/>
    <row r="590" ht="12.75"/>
    <row r="591" ht="12.75"/>
    <row r="592" ht="12.75"/>
    <row r="593" ht="12.75"/>
    <row r="594" ht="12.75"/>
    <row r="595" ht="12.75"/>
    <row r="596" ht="12.75"/>
    <row r="597" ht="12.75"/>
    <row r="598" ht="12.75"/>
    <row r="599" ht="12.75"/>
    <row r="600" ht="12.75"/>
    <row r="601" ht="12.75"/>
    <row r="602" ht="12.75"/>
    <row r="603" ht="12.75"/>
    <row r="604" ht="12.75"/>
    <row r="605" ht="12.75"/>
    <row r="606" ht="12.75"/>
    <row r="607" ht="12.75"/>
    <row r="608" ht="12.75"/>
    <row r="609" ht="12.75"/>
    <row r="610" ht="12.75"/>
    <row r="611" ht="12.75"/>
    <row r="612" ht="12.75"/>
    <row r="613" ht="12.75"/>
    <row r="614" ht="12.75"/>
    <row r="615" ht="12.75"/>
    <row r="616" ht="12.75"/>
    <row r="617" ht="12.75"/>
    <row r="618" ht="12.75"/>
    <row r="619" ht="12.75"/>
    <row r="620" ht="12.75"/>
    <row r="621" ht="12.75"/>
    <row r="622" ht="12.75"/>
    <row r="623" ht="12.75"/>
    <row r="624" ht="12.75"/>
    <row r="625" ht="12.75"/>
    <row r="626" ht="12.75"/>
    <row r="627" ht="12.75"/>
    <row r="628" ht="12.75"/>
    <row r="629" ht="12.75"/>
    <row r="630" ht="12.75"/>
    <row r="631" ht="12.75"/>
    <row r="632" ht="12.75"/>
    <row r="633" ht="12.75"/>
    <row r="634" ht="12.75"/>
    <row r="635" ht="12.75"/>
    <row r="636" ht="12.75"/>
    <row r="637" ht="12.75"/>
    <row r="638" ht="12.75"/>
    <row r="639" ht="12.75"/>
    <row r="640" ht="12.75"/>
    <row r="641" ht="12.75"/>
    <row r="642" ht="12.75"/>
    <row r="643" ht="12.75"/>
    <row r="644" ht="12.75"/>
    <row r="645" ht="12.75"/>
    <row r="646" ht="12.75"/>
    <row r="647" ht="12.75"/>
    <row r="648" ht="12.75"/>
    <row r="649" ht="12.75"/>
    <row r="650" ht="12.75"/>
    <row r="651" ht="12.75"/>
    <row r="652" ht="12.75"/>
    <row r="653" ht="12.75"/>
    <row r="654" ht="12.75"/>
    <row r="655" ht="12.75"/>
    <row r="656" ht="12.75"/>
    <row r="657" ht="12.75"/>
    <row r="658" ht="12.75"/>
    <row r="659" ht="12.75"/>
    <row r="660" ht="12.75"/>
    <row r="661" ht="12.75"/>
    <row r="662" ht="12.75"/>
    <row r="663" ht="12.75"/>
    <row r="664" ht="12.75"/>
    <row r="665" ht="12.75"/>
    <row r="666" ht="12.75"/>
    <row r="667" ht="12.75"/>
    <row r="668" ht="12.75"/>
    <row r="669" ht="12.75"/>
    <row r="670" ht="12.75"/>
    <row r="671" ht="12.75"/>
    <row r="672" ht="12.75"/>
    <row r="673" ht="12.75"/>
    <row r="674" ht="12.75"/>
    <row r="675" ht="12.75"/>
    <row r="676" ht="12.75"/>
    <row r="677" ht="12.75"/>
    <row r="678" ht="12.75"/>
    <row r="679" ht="12.75"/>
    <row r="680" ht="12.75"/>
    <row r="681" ht="12.75"/>
    <row r="682" ht="12.75"/>
    <row r="683" ht="12.75"/>
    <row r="684" ht="12.75"/>
    <row r="685" ht="12.75"/>
    <row r="686" ht="12.75"/>
    <row r="687" ht="12.75"/>
    <row r="688" ht="12.75"/>
    <row r="689" ht="12.75"/>
    <row r="690" ht="12.75"/>
    <row r="691" ht="12.75"/>
    <row r="692" ht="12.75"/>
    <row r="693" ht="12.75"/>
    <row r="694" ht="12.75"/>
    <row r="695" ht="12.75"/>
    <row r="696" ht="12.75"/>
    <row r="697" ht="12.75"/>
    <row r="698" ht="12.75"/>
    <row r="699" ht="12.75"/>
    <row r="700" ht="12.75"/>
    <row r="701" ht="12.75"/>
    <row r="702" ht="12.75"/>
    <row r="703" ht="12.75"/>
    <row r="704" ht="12.75"/>
    <row r="705" ht="12.75"/>
    <row r="706" ht="12.75"/>
    <row r="707" ht="12.75"/>
    <row r="708" ht="12.75"/>
    <row r="709" ht="12.75"/>
    <row r="710" ht="12.75"/>
    <row r="711" ht="12.75"/>
    <row r="712" ht="12.75"/>
    <row r="713" ht="12.75"/>
    <row r="714" ht="12.75"/>
    <row r="715" ht="12.75"/>
    <row r="716" ht="12.75"/>
    <row r="717" ht="12.75"/>
    <row r="718" ht="12.75"/>
    <row r="719" ht="12.75"/>
    <row r="720" ht="12.75"/>
    <row r="721" ht="12.75"/>
    <row r="722" ht="12.75"/>
    <row r="723" ht="12.75"/>
    <row r="724" ht="12.75"/>
    <row r="725" ht="12.75"/>
    <row r="726" ht="12.75"/>
    <row r="727" ht="12.75"/>
    <row r="728" ht="12.75"/>
    <row r="729" ht="12.75"/>
    <row r="730" ht="12.75"/>
    <row r="731" ht="12.75"/>
    <row r="732" ht="12.75"/>
    <row r="733" ht="12.75"/>
    <row r="734" ht="12.75"/>
    <row r="735" ht="12.75"/>
    <row r="736" ht="12.75"/>
    <row r="737" ht="12.75"/>
    <row r="738" ht="12.75"/>
    <row r="739" ht="12.75"/>
    <row r="740" ht="12.75"/>
    <row r="741" ht="12.75"/>
    <row r="742" ht="12.75"/>
    <row r="743" ht="12.75"/>
    <row r="744" ht="12.75"/>
    <row r="745" ht="12.75"/>
    <row r="746" ht="12.75"/>
    <row r="747" ht="12.75"/>
    <row r="748" ht="12.75"/>
    <row r="749" ht="12.75"/>
    <row r="750" ht="12.75"/>
    <row r="751" ht="12.75"/>
    <row r="752" ht="12.75"/>
    <row r="753" ht="12.75"/>
    <row r="754" ht="12.75"/>
    <row r="755" ht="12.75"/>
    <row r="756" ht="12.75"/>
    <row r="757" ht="12.75"/>
    <row r="758" ht="12.75"/>
    <row r="759" ht="12.75"/>
    <row r="760" ht="12.75"/>
    <row r="761" ht="12.75"/>
    <row r="762" ht="12.75"/>
    <row r="763" ht="12.75"/>
    <row r="764" ht="12.75"/>
    <row r="765" ht="12.75"/>
    <row r="766" ht="12.75"/>
    <row r="767" ht="12.75"/>
    <row r="768" ht="12.75"/>
    <row r="769" ht="12.75"/>
    <row r="770" ht="12.75"/>
    <row r="771" ht="12.75"/>
    <row r="772" ht="12.75"/>
    <row r="773" ht="12.75"/>
    <row r="774" ht="12.75"/>
    <row r="775" ht="12.75"/>
    <row r="776" ht="12.75"/>
    <row r="777" ht="12.75"/>
    <row r="778" ht="12.75"/>
    <row r="779" ht="12.75"/>
    <row r="780" ht="12.75"/>
    <row r="781" ht="12.75"/>
    <row r="782" ht="12.75"/>
    <row r="783" ht="12.75"/>
    <row r="784" ht="12.75"/>
    <row r="785" ht="12.75"/>
    <row r="786" ht="12.75"/>
    <row r="787" ht="12.75"/>
    <row r="788" ht="12.75"/>
    <row r="789" ht="12.75"/>
    <row r="790" ht="12.75"/>
    <row r="791" ht="12.75"/>
    <row r="792" ht="12.75"/>
    <row r="793" ht="12.75"/>
    <row r="794" ht="12.75"/>
    <row r="795" ht="12.75"/>
    <row r="796" ht="12.75"/>
    <row r="797" ht="12.75"/>
    <row r="798" ht="12.75"/>
    <row r="799" ht="12.75"/>
    <row r="800" ht="12.75"/>
    <row r="801" ht="12.75"/>
    <row r="802" ht="12.75"/>
    <row r="803" ht="12.75"/>
    <row r="804" ht="12.75"/>
    <row r="805" ht="12.75"/>
    <row r="806" ht="12.75"/>
    <row r="807" ht="12.75"/>
    <row r="808" ht="12.75"/>
    <row r="809" ht="12.75"/>
    <row r="810" ht="12.75"/>
    <row r="811" ht="12.75"/>
    <row r="812" ht="12.75"/>
    <row r="813" ht="12.75"/>
    <row r="814" ht="12.75"/>
    <row r="815" ht="12.75"/>
    <row r="816" ht="12.75"/>
    <row r="817" ht="12.75"/>
    <row r="818" ht="12.75"/>
    <row r="819" ht="12.75"/>
    <row r="820" ht="12.75"/>
    <row r="821" ht="12.75"/>
    <row r="822" ht="12.75"/>
    <row r="823" ht="12.75"/>
    <row r="824" ht="12.75"/>
    <row r="825" ht="12.75"/>
    <row r="826" ht="12.75"/>
    <row r="827" ht="12.75"/>
    <row r="828" ht="12.75"/>
    <row r="829" ht="12.75"/>
    <row r="830" ht="12.75"/>
    <row r="831" ht="12.75"/>
    <row r="832" ht="12.75"/>
    <row r="833" ht="12.75"/>
    <row r="834" ht="12.75"/>
    <row r="835" ht="12.75"/>
    <row r="836" ht="12.75"/>
    <row r="837" ht="12.75"/>
    <row r="838" ht="12.75"/>
    <row r="839" ht="12.75"/>
    <row r="840" ht="12.75"/>
    <row r="841" ht="12.75"/>
    <row r="842" ht="12.75"/>
    <row r="843" ht="12.75"/>
    <row r="844" ht="12.75"/>
    <row r="845" ht="12.75"/>
    <row r="846" ht="12.75"/>
    <row r="847" ht="12.75"/>
    <row r="848" ht="12.75"/>
    <row r="849" ht="12.75"/>
    <row r="850" ht="12.75"/>
    <row r="851" ht="12.75"/>
    <row r="852" ht="12.75"/>
    <row r="853" ht="12.75"/>
    <row r="854" ht="12.75"/>
    <row r="855" ht="12.75"/>
    <row r="856" ht="12.75"/>
    <row r="857" ht="12.75"/>
    <row r="858" ht="12.75"/>
    <row r="859" ht="12.75"/>
    <row r="860" ht="12.75"/>
    <row r="861" ht="12.75"/>
    <row r="862" ht="12.75"/>
    <row r="863" ht="12.75"/>
    <row r="864" ht="12.75"/>
    <row r="865" ht="12.75"/>
    <row r="866" ht="12.75"/>
    <row r="867" ht="12.75"/>
    <row r="868" ht="12.75"/>
    <row r="869" ht="12.75"/>
    <row r="870" ht="12.75"/>
    <row r="871" ht="12.75"/>
    <row r="872" ht="12.75"/>
    <row r="873" ht="12.75"/>
    <row r="874" ht="12.75"/>
    <row r="875" ht="12.75"/>
    <row r="876" ht="12.75"/>
    <row r="877" ht="12.75"/>
    <row r="878" ht="12.75"/>
    <row r="879" ht="12.75"/>
    <row r="880" ht="12.75"/>
    <row r="881" ht="12.75"/>
    <row r="882" ht="12.75"/>
    <row r="883" ht="12.75"/>
    <row r="884" ht="12.75"/>
    <row r="885" ht="12.75"/>
    <row r="886" ht="12.75"/>
    <row r="887" ht="12.75"/>
    <row r="888" ht="12.75"/>
    <row r="889" ht="12.75"/>
    <row r="890" ht="12.75"/>
    <row r="891" ht="12.75"/>
    <row r="892" ht="12.75"/>
    <row r="893" ht="12.75"/>
    <row r="894" ht="12.75"/>
    <row r="895" ht="12.75"/>
    <row r="896" ht="12.75"/>
    <row r="897" ht="12.75"/>
    <row r="898" ht="12.75"/>
    <row r="899" ht="12.75"/>
    <row r="900" ht="12.75"/>
    <row r="901" ht="12.75"/>
    <row r="902" ht="12.75"/>
    <row r="903" ht="12.75"/>
    <row r="904" ht="12.75"/>
    <row r="905" ht="12.75"/>
    <row r="906" ht="12.75"/>
    <row r="907" ht="12.75"/>
    <row r="908" ht="12.75"/>
    <row r="909" ht="12.75"/>
    <row r="910" ht="12.75"/>
    <row r="911" ht="12.75"/>
    <row r="912" ht="12.75"/>
    <row r="913" ht="12.75"/>
    <row r="914" ht="12.75"/>
    <row r="915" ht="12.75"/>
    <row r="916" ht="12.75"/>
    <row r="917" ht="12.75"/>
    <row r="918" ht="12.75"/>
    <row r="919" ht="12.75"/>
    <row r="920" ht="12.75"/>
    <row r="921" ht="12.75"/>
    <row r="922" ht="12.75"/>
    <row r="923" ht="12.75"/>
    <row r="924" ht="12.75"/>
    <row r="925" ht="12.75"/>
    <row r="926" ht="12.75"/>
    <row r="927" ht="12.75"/>
    <row r="928" ht="12.75"/>
    <row r="929" ht="12.75"/>
    <row r="930" ht="12.75"/>
    <row r="931" ht="12.75"/>
    <row r="932" ht="12.75"/>
    <row r="933" ht="12.75"/>
    <row r="934" ht="12.75"/>
    <row r="935" ht="12.75"/>
    <row r="936" ht="12.75"/>
    <row r="937" ht="12.75"/>
    <row r="938" ht="12.75"/>
    <row r="939" ht="12.75"/>
    <row r="940" ht="12.75"/>
    <row r="941" ht="12.75"/>
    <row r="942" ht="12.75"/>
    <row r="943" ht="12.75"/>
    <row r="944" ht="12.75"/>
    <row r="945" ht="12.75"/>
    <row r="946" ht="12.75"/>
    <row r="947" ht="12.75"/>
    <row r="948" ht="12.75"/>
    <row r="949" ht="12.75"/>
    <row r="950" ht="12.75"/>
    <row r="951" ht="12.75"/>
    <row r="952" ht="12.75"/>
    <row r="953" ht="12.75"/>
    <row r="954" ht="12.75"/>
    <row r="955" ht="12.75"/>
    <row r="956" ht="12.75"/>
    <row r="957" ht="12.75"/>
    <row r="958" ht="12.75"/>
    <row r="959" ht="12.75"/>
    <row r="960" ht="12.75"/>
    <row r="961" ht="12.75"/>
    <row r="962" ht="12.75"/>
    <row r="963" ht="12.75"/>
    <row r="964" ht="12.75"/>
    <row r="965" ht="12.75"/>
    <row r="966" ht="12.75"/>
    <row r="967" ht="12.75"/>
    <row r="968" ht="12.75"/>
    <row r="969" ht="12.75"/>
    <row r="970" ht="12.75"/>
    <row r="971" ht="12.75"/>
    <row r="972" ht="12.75"/>
    <row r="973" ht="12.75"/>
    <row r="974" ht="12.75"/>
    <row r="975" ht="12.75"/>
    <row r="976" ht="12.75"/>
    <row r="977" ht="12.75"/>
    <row r="978" ht="12.75"/>
    <row r="979" ht="12.75"/>
    <row r="980" ht="12.75"/>
    <row r="981" ht="12.75"/>
    <row r="982" ht="12.75"/>
    <row r="983" ht="12.75"/>
    <row r="984" ht="12.75"/>
    <row r="985" ht="12.75"/>
    <row r="986" ht="12.75"/>
    <row r="987" ht="12.75"/>
    <row r="988" ht="12.75"/>
    <row r="989" ht="12.75"/>
    <row r="990" ht="12.75"/>
    <row r="991" ht="12.75"/>
    <row r="992" ht="12.75"/>
    <row r="993" ht="12.75"/>
    <row r="994" ht="12.75"/>
    <row r="995" ht="12.75"/>
    <row r="996" ht="12.75"/>
    <row r="997" ht="12.75"/>
    <row r="998" ht="12.75"/>
    <row r="999" ht="12.75"/>
    <row r="1000" ht="12.75"/>
  </sheetData>
  <mergeCells count="69">
    <mergeCell ref="U2:W2"/>
    <mergeCell ref="A1:C1"/>
    <mergeCell ref="E1:G1"/>
    <mergeCell ref="I1:K1"/>
    <mergeCell ref="M1:O1"/>
    <mergeCell ref="Q1:S1"/>
    <mergeCell ref="U1:W1"/>
    <mergeCell ref="A2:C2"/>
    <mergeCell ref="E2:G2"/>
    <mergeCell ref="I2:K2"/>
    <mergeCell ref="M2:O2"/>
    <mergeCell ref="Q2:S2"/>
    <mergeCell ref="A14:C14"/>
    <mergeCell ref="E14:G14"/>
    <mergeCell ref="I14:K14"/>
    <mergeCell ref="S9:S10"/>
    <mergeCell ref="A7:B7"/>
    <mergeCell ref="E7:F7"/>
    <mergeCell ref="G7:G8"/>
    <mergeCell ref="I7:J7"/>
    <mergeCell ref="K7:K9"/>
    <mergeCell ref="M7:N7"/>
    <mergeCell ref="M10:N10"/>
    <mergeCell ref="Q10:R10"/>
    <mergeCell ref="O7:O10"/>
    <mergeCell ref="Q7:R7"/>
    <mergeCell ref="S7:S8"/>
    <mergeCell ref="U7:W7"/>
    <mergeCell ref="C8:C12"/>
    <mergeCell ref="M8:N8"/>
    <mergeCell ref="I9:J9"/>
    <mergeCell ref="M9:N9"/>
    <mergeCell ref="Q9:R9"/>
    <mergeCell ref="U11:W11"/>
    <mergeCell ref="U12:W12"/>
    <mergeCell ref="A15:C15"/>
    <mergeCell ref="E15:G15"/>
    <mergeCell ref="I15:K15"/>
    <mergeCell ref="A20:B20"/>
    <mergeCell ref="C20:C21"/>
    <mergeCell ref="E20:F20"/>
    <mergeCell ref="G20:G21"/>
    <mergeCell ref="I20:J20"/>
    <mergeCell ref="E22:F22"/>
    <mergeCell ref="I22:J22"/>
    <mergeCell ref="I26:J26"/>
    <mergeCell ref="A44:C44"/>
    <mergeCell ref="D44:F44"/>
    <mergeCell ref="G44:I44"/>
    <mergeCell ref="J44:L44"/>
    <mergeCell ref="M44:O44"/>
    <mergeCell ref="A50:C50"/>
    <mergeCell ref="D50:F50"/>
    <mergeCell ref="G50:I50"/>
    <mergeCell ref="J50:L50"/>
    <mergeCell ref="M50:O50"/>
    <mergeCell ref="AC9:AD9"/>
    <mergeCell ref="AG9:AH9"/>
    <mergeCell ref="Y1:AA1"/>
    <mergeCell ref="AC1:AE1"/>
    <mergeCell ref="AG1:AI1"/>
    <mergeCell ref="Y2:AA2"/>
    <mergeCell ref="AC2:AE2"/>
    <mergeCell ref="AG2:AI2"/>
    <mergeCell ref="Y7:Z7"/>
    <mergeCell ref="AA7:AA8"/>
    <mergeCell ref="AC7:AD7"/>
    <mergeCell ref="AE7:AE8"/>
    <mergeCell ref="AG7:AH7"/>
  </mergeCell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31A0F0-494A-41DE-AFC9-6BC686883C56}">
  <sheetPr codeName="Лист8">
    <outlinePr summaryBelow="0" summaryRight="0"/>
  </sheetPr>
  <dimension ref="A1:G12"/>
  <sheetViews>
    <sheetView workbookViewId="0"/>
  </sheetViews>
  <sheetFormatPr defaultColWidth="14.42578125" defaultRowHeight="15" customHeight="1"/>
  <cols>
    <col min="1" max="2" width="14.42578125" style="63"/>
    <col min="3" max="3" width="25.5703125" style="63" customWidth="1"/>
    <col min="4" max="4" width="26.28515625" style="63" customWidth="1"/>
    <col min="5" max="5" width="31.5703125" style="63" customWidth="1"/>
    <col min="6" max="6" width="18" style="63" customWidth="1"/>
    <col min="7" max="7" width="18.28515625" style="63" customWidth="1"/>
    <col min="8" max="16384" width="14.42578125" style="63"/>
  </cols>
  <sheetData>
    <row r="1" spans="1:7">
      <c r="A1" s="81" t="s">
        <v>549</v>
      </c>
      <c r="B1" s="81" t="s">
        <v>550</v>
      </c>
      <c r="C1" s="81" t="s">
        <v>551</v>
      </c>
      <c r="D1" s="81" t="s">
        <v>552</v>
      </c>
      <c r="E1" s="81" t="s">
        <v>553</v>
      </c>
      <c r="F1" s="81" t="s">
        <v>554</v>
      </c>
      <c r="G1" s="81" t="s">
        <v>555</v>
      </c>
    </row>
    <row r="2" spans="1:7">
      <c r="A2" s="76" t="s">
        <v>556</v>
      </c>
      <c r="B2" s="76" t="s">
        <v>557</v>
      </c>
      <c r="C2" s="76" t="s">
        <v>558</v>
      </c>
      <c r="D2" s="76" t="s">
        <v>559</v>
      </c>
      <c r="E2" s="76" t="s">
        <v>560</v>
      </c>
      <c r="F2" s="76" t="s">
        <v>560</v>
      </c>
      <c r="G2" s="76" t="s">
        <v>559</v>
      </c>
    </row>
    <row r="3" spans="1:7">
      <c r="A3" s="76" t="s">
        <v>561</v>
      </c>
      <c r="B3" s="76" t="s">
        <v>557</v>
      </c>
      <c r="C3" s="76" t="s">
        <v>557</v>
      </c>
      <c r="D3" s="76" t="s">
        <v>557</v>
      </c>
      <c r="E3" s="76" t="s">
        <v>560</v>
      </c>
      <c r="F3" s="76" t="s">
        <v>559</v>
      </c>
      <c r="G3" s="76" t="s">
        <v>557</v>
      </c>
    </row>
    <row r="4" spans="1:7">
      <c r="A4" s="76" t="s">
        <v>562</v>
      </c>
      <c r="B4" s="76" t="s">
        <v>557</v>
      </c>
      <c r="C4" s="76" t="s">
        <v>557</v>
      </c>
      <c r="D4" s="76" t="s">
        <v>557</v>
      </c>
      <c r="E4" s="76" t="s">
        <v>559</v>
      </c>
      <c r="F4" s="76" t="s">
        <v>559</v>
      </c>
      <c r="G4" s="76" t="s">
        <v>557</v>
      </c>
    </row>
    <row r="5" spans="1:7">
      <c r="A5" s="76" t="s">
        <v>563</v>
      </c>
      <c r="B5" s="76" t="s">
        <v>558</v>
      </c>
      <c r="C5" s="76" t="s">
        <v>557</v>
      </c>
      <c r="D5" s="76" t="s">
        <v>557</v>
      </c>
      <c r="E5" s="76" t="s">
        <v>559</v>
      </c>
      <c r="F5" s="76" t="s">
        <v>557</v>
      </c>
      <c r="G5" s="76" t="s">
        <v>557</v>
      </c>
    </row>
    <row r="6" spans="1:7">
      <c r="A6" s="76" t="s">
        <v>564</v>
      </c>
      <c r="B6" s="76" t="s">
        <v>559</v>
      </c>
      <c r="C6" s="76" t="s">
        <v>557</v>
      </c>
      <c r="D6" s="76" t="s">
        <v>557</v>
      </c>
      <c r="E6" s="76" t="s">
        <v>559</v>
      </c>
      <c r="F6" s="76" t="s">
        <v>559</v>
      </c>
      <c r="G6" s="76" t="s">
        <v>557</v>
      </c>
    </row>
    <row r="10" spans="1:7" ht="14.25">
      <c r="B10" s="99" t="s">
        <v>565</v>
      </c>
    </row>
    <row r="11" spans="1:7">
      <c r="B11" s="69" t="s">
        <v>557</v>
      </c>
      <c r="C11" s="69" t="s">
        <v>558</v>
      </c>
      <c r="D11" s="69" t="s">
        <v>559</v>
      </c>
      <c r="E11" s="69" t="s">
        <v>566</v>
      </c>
    </row>
    <row r="12" spans="1:7" ht="55.5" customHeight="1">
      <c r="B12" s="64" t="s">
        <v>567</v>
      </c>
      <c r="C12" s="90" t="s">
        <v>568</v>
      </c>
      <c r="D12" s="90" t="s">
        <v>569</v>
      </c>
      <c r="E12" s="90" t="s">
        <v>570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F3DDEF-7A74-47F5-915C-4914F1630FAC}">
  <sheetPr codeName="Лист9">
    <outlinePr summaryBelow="0" summaryRight="0"/>
  </sheetPr>
  <dimension ref="A1:D23"/>
  <sheetViews>
    <sheetView workbookViewId="0">
      <selection activeCell="C1" sqref="C1"/>
    </sheetView>
  </sheetViews>
  <sheetFormatPr defaultColWidth="14.42578125" defaultRowHeight="15" customHeight="1"/>
  <cols>
    <col min="1" max="16384" width="14.42578125" style="63"/>
  </cols>
  <sheetData>
    <row r="1" spans="1:4" ht="15" customHeight="1">
      <c r="A1" s="63" t="s">
        <v>160</v>
      </c>
      <c r="B1" s="63" t="s">
        <v>161</v>
      </c>
      <c r="C1" s="63" t="s">
        <v>823</v>
      </c>
      <c r="D1" s="63" t="s">
        <v>824</v>
      </c>
    </row>
    <row r="2" spans="1:4" ht="15" customHeight="1">
      <c r="A2" s="63" t="s">
        <v>825</v>
      </c>
      <c r="B2" s="63" t="s">
        <v>835</v>
      </c>
      <c r="C2" s="63" t="s">
        <v>845</v>
      </c>
      <c r="D2" s="63" t="s">
        <v>855</v>
      </c>
    </row>
    <row r="3" spans="1:4" ht="15" customHeight="1">
      <c r="A3" s="63" t="s">
        <v>826</v>
      </c>
      <c r="B3" s="63" t="s">
        <v>836</v>
      </c>
      <c r="C3" s="63" t="s">
        <v>846</v>
      </c>
      <c r="D3" s="63" t="s">
        <v>856</v>
      </c>
    </row>
    <row r="4" spans="1:4" ht="15" customHeight="1">
      <c r="A4" s="63" t="s">
        <v>827</v>
      </c>
      <c r="B4" s="63" t="s">
        <v>837</v>
      </c>
      <c r="C4" s="63" t="s">
        <v>847</v>
      </c>
      <c r="D4" s="63" t="s">
        <v>857</v>
      </c>
    </row>
    <row r="5" spans="1:4" ht="15" customHeight="1">
      <c r="A5" s="63" t="s">
        <v>828</v>
      </c>
      <c r="B5" s="63" t="s">
        <v>838</v>
      </c>
      <c r="C5" s="63" t="s">
        <v>848</v>
      </c>
      <c r="D5" s="63" t="s">
        <v>864</v>
      </c>
    </row>
    <row r="6" spans="1:4" ht="15" customHeight="1">
      <c r="A6" s="63" t="s">
        <v>829</v>
      </c>
      <c r="B6" s="63" t="s">
        <v>839</v>
      </c>
      <c r="C6" s="63" t="s">
        <v>849</v>
      </c>
      <c r="D6" s="63" t="s">
        <v>858</v>
      </c>
    </row>
    <row r="7" spans="1:4" ht="15" customHeight="1">
      <c r="A7" s="63" t="s">
        <v>830</v>
      </c>
      <c r="B7" s="63" t="s">
        <v>840</v>
      </c>
      <c r="C7" s="63" t="s">
        <v>850</v>
      </c>
      <c r="D7" s="63" t="s">
        <v>859</v>
      </c>
    </row>
    <row r="8" spans="1:4" ht="15" customHeight="1">
      <c r="A8" s="63" t="s">
        <v>831</v>
      </c>
      <c r="B8" s="63" t="s">
        <v>841</v>
      </c>
      <c r="C8" s="63" t="s">
        <v>851</v>
      </c>
      <c r="D8" s="63" t="s">
        <v>860</v>
      </c>
    </row>
    <row r="9" spans="1:4" ht="15" customHeight="1">
      <c r="A9" s="63" t="s">
        <v>832</v>
      </c>
      <c r="B9" s="63" t="s">
        <v>842</v>
      </c>
      <c r="C9" s="63" t="s">
        <v>852</v>
      </c>
      <c r="D9" s="63" t="s">
        <v>861</v>
      </c>
    </row>
    <row r="10" spans="1:4" ht="15" customHeight="1">
      <c r="A10" s="63" t="s">
        <v>833</v>
      </c>
      <c r="B10" s="63" t="s">
        <v>843</v>
      </c>
      <c r="C10" s="63" t="s">
        <v>853</v>
      </c>
      <c r="D10" s="63" t="s">
        <v>862</v>
      </c>
    </row>
    <row r="11" spans="1:4" ht="15" customHeight="1">
      <c r="A11" s="63" t="s">
        <v>834</v>
      </c>
      <c r="B11" s="63" t="s">
        <v>844</v>
      </c>
      <c r="C11" s="63" t="s">
        <v>854</v>
      </c>
      <c r="D11" s="63" t="s">
        <v>863</v>
      </c>
    </row>
    <row r="13" spans="1:4" ht="15" customHeight="1">
      <c r="A13" s="63" t="s">
        <v>164</v>
      </c>
      <c r="B13" s="63" t="s">
        <v>165</v>
      </c>
      <c r="C13" s="63" t="s">
        <v>865</v>
      </c>
    </row>
    <row r="14" spans="1:4" ht="15" customHeight="1">
      <c r="A14" s="63" t="s">
        <v>170</v>
      </c>
      <c r="B14" s="63" t="s">
        <v>874</v>
      </c>
      <c r="C14" s="63" t="s">
        <v>885</v>
      </c>
    </row>
    <row r="15" spans="1:4" ht="15" customHeight="1">
      <c r="A15" s="63" t="s">
        <v>897</v>
      </c>
      <c r="B15" s="63" t="s">
        <v>875</v>
      </c>
      <c r="C15" s="63" t="s">
        <v>886</v>
      </c>
    </row>
    <row r="16" spans="1:4" ht="15" customHeight="1">
      <c r="A16" s="63" t="s">
        <v>867</v>
      </c>
      <c r="B16" s="63" t="s">
        <v>876</v>
      </c>
      <c r="C16" s="63" t="s">
        <v>887</v>
      </c>
    </row>
    <row r="17" spans="1:3" ht="15" customHeight="1">
      <c r="A17" s="63" t="s">
        <v>868</v>
      </c>
      <c r="B17" s="63" t="s">
        <v>877</v>
      </c>
      <c r="C17" s="63" t="s">
        <v>888</v>
      </c>
    </row>
    <row r="18" spans="1:3" ht="15" customHeight="1">
      <c r="A18" s="63" t="s">
        <v>869</v>
      </c>
      <c r="B18" s="63" t="s">
        <v>878</v>
      </c>
      <c r="C18" s="63" t="s">
        <v>889</v>
      </c>
    </row>
    <row r="19" spans="1:3" ht="15" customHeight="1">
      <c r="A19" s="63" t="s">
        <v>870</v>
      </c>
      <c r="B19" s="63" t="s">
        <v>879</v>
      </c>
      <c r="C19" s="63" t="s">
        <v>889</v>
      </c>
    </row>
    <row r="20" spans="1:3" ht="15" customHeight="1">
      <c r="A20" s="63" t="s">
        <v>871</v>
      </c>
      <c r="B20" s="63" t="s">
        <v>880</v>
      </c>
      <c r="C20" s="63" t="s">
        <v>890</v>
      </c>
    </row>
    <row r="21" spans="1:3" ht="15" customHeight="1">
      <c r="A21" s="63" t="s">
        <v>872</v>
      </c>
      <c r="B21" s="63" t="s">
        <v>881</v>
      </c>
      <c r="C21" s="63" t="s">
        <v>891</v>
      </c>
    </row>
    <row r="22" spans="1:3" ht="15" customHeight="1">
      <c r="A22" s="63" t="s">
        <v>884</v>
      </c>
      <c r="B22" s="63" t="s">
        <v>882</v>
      </c>
      <c r="C22" s="63" t="s">
        <v>892</v>
      </c>
    </row>
    <row r="23" spans="1:3" ht="15" customHeight="1">
      <c r="A23" s="63" t="s">
        <v>873</v>
      </c>
      <c r="B23" s="63" t="s">
        <v>883</v>
      </c>
      <c r="C23" s="63" t="s">
        <v>893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CF64B7-8418-4A54-BB20-6227F83C2DD8}">
  <sheetPr codeName="Лист10">
    <outlinePr summaryBelow="0" summaryRight="0"/>
  </sheetPr>
  <dimension ref="A1:O29"/>
  <sheetViews>
    <sheetView workbookViewId="0">
      <selection activeCell="A3" sqref="A3"/>
    </sheetView>
  </sheetViews>
  <sheetFormatPr defaultColWidth="14.42578125" defaultRowHeight="15" customHeight="1"/>
  <cols>
    <col min="1" max="1" width="14.42578125" style="63"/>
    <col min="2" max="2" width="15.85546875" style="63" customWidth="1"/>
    <col min="3" max="3" width="17.28515625" style="63" customWidth="1"/>
    <col min="4" max="4" width="16.5703125" style="63" customWidth="1"/>
    <col min="5" max="5" width="16" style="63" customWidth="1"/>
    <col min="6" max="7" width="14.42578125" style="63"/>
    <col min="8" max="8" width="18.42578125" style="63" customWidth="1"/>
    <col min="9" max="12" width="14.42578125" style="63"/>
    <col min="13" max="13" width="13.42578125" style="63" customWidth="1"/>
    <col min="14" max="14" width="15" style="63" customWidth="1"/>
    <col min="15" max="15" width="17.28515625" style="63" customWidth="1"/>
    <col min="16" max="16384" width="14.42578125" style="63"/>
  </cols>
  <sheetData>
    <row r="1" spans="1:15" ht="14.25">
      <c r="A1" s="564" t="s">
        <v>198</v>
      </c>
      <c r="B1" s="565"/>
      <c r="C1" s="566"/>
      <c r="D1" s="564" t="s">
        <v>200</v>
      </c>
      <c r="E1" s="565"/>
      <c r="F1" s="566"/>
      <c r="G1" s="564" t="s">
        <v>202</v>
      </c>
      <c r="H1" s="565"/>
      <c r="I1" s="566"/>
      <c r="J1" s="564" t="s">
        <v>240</v>
      </c>
      <c r="K1" s="565"/>
      <c r="L1" s="566"/>
      <c r="M1" s="564" t="s">
        <v>206</v>
      </c>
      <c r="N1" s="565"/>
      <c r="O1" s="566"/>
    </row>
    <row r="2" spans="1:15" ht="36.75" customHeight="1">
      <c r="A2" s="86" t="s">
        <v>430</v>
      </c>
      <c r="B2" s="87" t="s">
        <v>431</v>
      </c>
      <c r="C2" s="88" t="s">
        <v>432</v>
      </c>
      <c r="D2" s="86" t="s">
        <v>433</v>
      </c>
      <c r="E2" s="87" t="s">
        <v>434</v>
      </c>
      <c r="F2" s="88" t="s">
        <v>435</v>
      </c>
      <c r="G2" s="86" t="s">
        <v>436</v>
      </c>
      <c r="H2" s="87" t="s">
        <v>437</v>
      </c>
      <c r="I2" s="88" t="s">
        <v>438</v>
      </c>
      <c r="J2" s="86" t="s">
        <v>439</v>
      </c>
      <c r="K2" s="87" t="s">
        <v>440</v>
      </c>
      <c r="L2" s="88" t="s">
        <v>441</v>
      </c>
      <c r="M2" s="86" t="s">
        <v>442</v>
      </c>
      <c r="N2" s="87" t="s">
        <v>443</v>
      </c>
      <c r="O2" s="88" t="s">
        <v>444</v>
      </c>
    </row>
    <row r="3" spans="1:15" ht="37.5" customHeight="1">
      <c r="A3" s="89" t="s">
        <v>445</v>
      </c>
      <c r="B3" s="90" t="s">
        <v>446</v>
      </c>
      <c r="C3" s="91" t="s">
        <v>447</v>
      </c>
      <c r="D3" s="89" t="s">
        <v>448</v>
      </c>
      <c r="E3" s="90" t="s">
        <v>449</v>
      </c>
      <c r="F3" s="91" t="s">
        <v>64</v>
      </c>
      <c r="G3" s="89" t="s">
        <v>450</v>
      </c>
      <c r="H3" s="90" t="s">
        <v>451</v>
      </c>
      <c r="I3" s="91" t="s">
        <v>452</v>
      </c>
      <c r="J3" s="89" t="s">
        <v>453</v>
      </c>
      <c r="K3" s="90" t="s">
        <v>454</v>
      </c>
      <c r="L3" s="91" t="s">
        <v>455</v>
      </c>
      <c r="M3" s="89" t="s">
        <v>456</v>
      </c>
      <c r="N3" s="90" t="s">
        <v>457</v>
      </c>
      <c r="O3" s="91" t="s">
        <v>458</v>
      </c>
    </row>
    <row r="4" spans="1:15" ht="42.75" customHeight="1">
      <c r="A4" s="89" t="s">
        <v>459</v>
      </c>
      <c r="B4" s="90" t="s">
        <v>460</v>
      </c>
      <c r="C4" s="91" t="s">
        <v>461</v>
      </c>
      <c r="D4" s="89" t="s">
        <v>462</v>
      </c>
      <c r="E4" s="90" t="s">
        <v>463</v>
      </c>
      <c r="F4" s="91" t="s">
        <v>464</v>
      </c>
      <c r="G4" s="89" t="s">
        <v>465</v>
      </c>
      <c r="H4" s="90" t="s">
        <v>466</v>
      </c>
      <c r="I4" s="91" t="s">
        <v>467</v>
      </c>
      <c r="J4" s="89" t="s">
        <v>468</v>
      </c>
      <c r="K4" s="90" t="s">
        <v>469</v>
      </c>
      <c r="L4" s="91" t="s">
        <v>470</v>
      </c>
      <c r="M4" s="89" t="s">
        <v>471</v>
      </c>
      <c r="N4" s="90" t="s">
        <v>472</v>
      </c>
      <c r="O4" s="91" t="s">
        <v>473</v>
      </c>
    </row>
    <row r="5" spans="1:15" ht="54" customHeight="1">
      <c r="A5" s="92" t="s">
        <v>474</v>
      </c>
      <c r="B5" s="93" t="s">
        <v>475</v>
      </c>
      <c r="C5" s="94" t="s">
        <v>476</v>
      </c>
      <c r="D5" s="92" t="s">
        <v>477</v>
      </c>
      <c r="E5" s="93" t="s">
        <v>478</v>
      </c>
      <c r="F5" s="94" t="s">
        <v>479</v>
      </c>
      <c r="G5" s="92" t="s">
        <v>480</v>
      </c>
      <c r="H5" s="93" t="s">
        <v>481</v>
      </c>
      <c r="I5" s="94" t="s">
        <v>482</v>
      </c>
      <c r="J5" s="92" t="s">
        <v>483</v>
      </c>
      <c r="K5" s="93" t="s">
        <v>484</v>
      </c>
      <c r="L5" s="94" t="s">
        <v>485</v>
      </c>
      <c r="M5" s="92" t="s">
        <v>486</v>
      </c>
      <c r="N5" s="93" t="s">
        <v>487</v>
      </c>
      <c r="O5" s="94" t="s">
        <v>488</v>
      </c>
    </row>
    <row r="6" spans="1:15">
      <c r="A6" s="89"/>
      <c r="B6" s="90"/>
      <c r="C6" s="90"/>
      <c r="D6" s="90"/>
      <c r="E6" s="90"/>
      <c r="F6" s="90"/>
      <c r="G6" s="90"/>
      <c r="H6" s="90"/>
      <c r="I6" s="90"/>
      <c r="J6" s="90"/>
      <c r="K6" s="90"/>
      <c r="L6" s="90"/>
      <c r="M6" s="90"/>
      <c r="N6" s="90"/>
      <c r="O6" s="91"/>
    </row>
    <row r="7" spans="1:15" ht="14.25">
      <c r="A7" s="564" t="s">
        <v>239</v>
      </c>
      <c r="B7" s="565"/>
      <c r="C7" s="566"/>
      <c r="D7" s="564" t="s">
        <v>210</v>
      </c>
      <c r="E7" s="565"/>
      <c r="F7" s="566"/>
      <c r="G7" s="564" t="s">
        <v>212</v>
      </c>
      <c r="H7" s="565"/>
      <c r="I7" s="566"/>
      <c r="J7" s="564" t="s">
        <v>214</v>
      </c>
      <c r="K7" s="565"/>
      <c r="L7" s="566"/>
      <c r="M7" s="564" t="s">
        <v>242</v>
      </c>
      <c r="N7" s="565"/>
      <c r="O7" s="566"/>
    </row>
    <row r="8" spans="1:15" ht="30.75" customHeight="1">
      <c r="A8" s="86" t="s">
        <v>489</v>
      </c>
      <c r="B8" s="87" t="s">
        <v>490</v>
      </c>
      <c r="C8" s="88" t="s">
        <v>491</v>
      </c>
      <c r="D8" s="86" t="s">
        <v>492</v>
      </c>
      <c r="E8" s="87" t="s">
        <v>493</v>
      </c>
      <c r="F8" s="88" t="s">
        <v>494</v>
      </c>
      <c r="G8" s="95" t="s">
        <v>495</v>
      </c>
      <c r="H8" s="95" t="s">
        <v>496</v>
      </c>
      <c r="I8" s="96" t="s">
        <v>497</v>
      </c>
      <c r="J8" s="86" t="s">
        <v>498</v>
      </c>
      <c r="K8" s="87" t="s">
        <v>499</v>
      </c>
      <c r="L8" s="88" t="s">
        <v>500</v>
      </c>
      <c r="M8" s="86" t="s">
        <v>501</v>
      </c>
      <c r="N8" s="87" t="s">
        <v>502</v>
      </c>
      <c r="O8" s="88" t="s">
        <v>503</v>
      </c>
    </row>
    <row r="9" spans="1:15" ht="42" customHeight="1">
      <c r="A9" s="89" t="s">
        <v>504</v>
      </c>
      <c r="B9" s="90" t="s">
        <v>505</v>
      </c>
      <c r="C9" s="91" t="s">
        <v>506</v>
      </c>
      <c r="D9" s="89" t="s">
        <v>507</v>
      </c>
      <c r="E9" s="90" t="s">
        <v>508</v>
      </c>
      <c r="F9" s="91" t="s">
        <v>509</v>
      </c>
      <c r="G9" s="97" t="s">
        <v>510</v>
      </c>
      <c r="H9" s="97" t="s">
        <v>511</v>
      </c>
      <c r="I9" s="97" t="s">
        <v>512</v>
      </c>
      <c r="J9" s="89" t="s">
        <v>513</v>
      </c>
      <c r="K9" s="90" t="s">
        <v>514</v>
      </c>
      <c r="L9" s="91" t="s">
        <v>515</v>
      </c>
      <c r="M9" s="89" t="s">
        <v>516</v>
      </c>
      <c r="N9" s="90" t="s">
        <v>517</v>
      </c>
      <c r="O9" s="91" t="s">
        <v>518</v>
      </c>
    </row>
    <row r="10" spans="1:15" ht="45" customHeight="1">
      <c r="A10" s="89" t="s">
        <v>519</v>
      </c>
      <c r="B10" s="90" t="s">
        <v>520</v>
      </c>
      <c r="C10" s="91" t="s">
        <v>521</v>
      </c>
      <c r="D10" s="89" t="s">
        <v>522</v>
      </c>
      <c r="E10" s="90" t="s">
        <v>523</v>
      </c>
      <c r="F10" s="91" t="s">
        <v>524</v>
      </c>
      <c r="G10" s="97" t="s">
        <v>525</v>
      </c>
      <c r="H10" s="97" t="s">
        <v>526</v>
      </c>
      <c r="I10" s="97" t="s">
        <v>527</v>
      </c>
      <c r="J10" s="89" t="s">
        <v>528</v>
      </c>
      <c r="K10" s="90" t="s">
        <v>529</v>
      </c>
      <c r="L10" s="91" t="s">
        <v>530</v>
      </c>
      <c r="M10" s="89" t="s">
        <v>531</v>
      </c>
      <c r="N10" s="90" t="s">
        <v>532</v>
      </c>
      <c r="O10" s="91" t="s">
        <v>533</v>
      </c>
    </row>
    <row r="11" spans="1:15" ht="49.5" customHeight="1">
      <c r="A11" s="92" t="s">
        <v>534</v>
      </c>
      <c r="B11" s="93" t="s">
        <v>535</v>
      </c>
      <c r="C11" s="94" t="s">
        <v>536</v>
      </c>
      <c r="D11" s="92" t="s">
        <v>537</v>
      </c>
      <c r="E11" s="93" t="s">
        <v>538</v>
      </c>
      <c r="F11" s="94" t="s">
        <v>539</v>
      </c>
      <c r="G11" s="98" t="s">
        <v>540</v>
      </c>
      <c r="H11" s="98" t="s">
        <v>541</v>
      </c>
      <c r="I11" s="98" t="s">
        <v>542</v>
      </c>
      <c r="J11" s="92" t="s">
        <v>543</v>
      </c>
      <c r="K11" s="93" t="s">
        <v>544</v>
      </c>
      <c r="L11" s="94" t="s">
        <v>545</v>
      </c>
      <c r="M11" s="92" t="s">
        <v>546</v>
      </c>
      <c r="N11" s="93" t="s">
        <v>547</v>
      </c>
      <c r="O11" s="94" t="s">
        <v>548</v>
      </c>
    </row>
    <row r="12" spans="1:15">
      <c r="A12" s="90"/>
      <c r="B12" s="90"/>
      <c r="C12" s="90"/>
      <c r="D12" s="90"/>
      <c r="E12" s="90"/>
      <c r="F12" s="90"/>
      <c r="G12" s="90"/>
      <c r="H12" s="90"/>
      <c r="I12" s="90"/>
      <c r="J12" s="90"/>
      <c r="K12" s="90"/>
      <c r="L12" s="90"/>
      <c r="M12" s="90"/>
      <c r="N12" s="90"/>
      <c r="O12" s="90"/>
    </row>
    <row r="13" spans="1:15">
      <c r="A13" s="90"/>
      <c r="B13" s="90"/>
      <c r="C13" s="90"/>
      <c r="D13" s="90"/>
      <c r="E13" s="90"/>
      <c r="F13" s="90"/>
      <c r="G13" s="90"/>
      <c r="H13" s="90"/>
      <c r="I13" s="90"/>
      <c r="J13" s="90"/>
      <c r="K13" s="90"/>
      <c r="L13" s="90"/>
      <c r="M13" s="90"/>
      <c r="N13" s="90"/>
      <c r="O13" s="90"/>
    </row>
    <row r="14" spans="1:15">
      <c r="A14" s="90"/>
      <c r="B14" s="90"/>
      <c r="C14" s="90"/>
      <c r="D14" s="90"/>
      <c r="E14" s="90"/>
      <c r="F14" s="90"/>
      <c r="G14" s="90"/>
      <c r="H14" s="90"/>
      <c r="I14" s="90"/>
      <c r="J14" s="90"/>
      <c r="K14" s="90"/>
      <c r="L14" s="90"/>
      <c r="M14" s="90"/>
      <c r="N14" s="90"/>
      <c r="O14" s="90"/>
    </row>
    <row r="15" spans="1:15">
      <c r="A15" s="90"/>
      <c r="B15" s="90"/>
      <c r="C15" s="90"/>
      <c r="D15" s="90"/>
      <c r="E15" s="90"/>
      <c r="F15" s="90"/>
      <c r="G15" s="90"/>
      <c r="H15" s="90"/>
      <c r="I15" s="90"/>
      <c r="J15" s="90"/>
      <c r="K15" s="90"/>
      <c r="L15" s="90"/>
      <c r="M15" s="90"/>
      <c r="N15" s="90"/>
      <c r="O15" s="90"/>
    </row>
    <row r="16" spans="1:15">
      <c r="A16" s="90"/>
      <c r="B16" s="90"/>
      <c r="C16" s="90"/>
      <c r="D16" s="90"/>
      <c r="E16" s="90"/>
      <c r="F16" s="90"/>
      <c r="G16" s="90"/>
      <c r="H16" s="90"/>
      <c r="I16" s="90"/>
      <c r="J16" s="90"/>
      <c r="K16" s="90"/>
      <c r="L16" s="90"/>
      <c r="M16" s="90"/>
      <c r="N16" s="90"/>
      <c r="O16" s="90"/>
    </row>
    <row r="17" spans="1:15">
      <c r="A17" s="90"/>
      <c r="B17" s="90"/>
      <c r="C17" s="90"/>
      <c r="D17" s="90"/>
      <c r="E17" s="90"/>
      <c r="F17" s="90"/>
      <c r="G17" s="90"/>
      <c r="H17" s="90"/>
      <c r="I17" s="90"/>
      <c r="J17" s="90"/>
      <c r="K17" s="90"/>
      <c r="L17" s="90"/>
      <c r="M17" s="90"/>
      <c r="N17" s="90"/>
      <c r="O17" s="90"/>
    </row>
    <row r="18" spans="1:15">
      <c r="A18" s="90"/>
      <c r="B18" s="90"/>
      <c r="C18" s="90"/>
      <c r="D18" s="90"/>
      <c r="E18" s="90"/>
      <c r="F18" s="90"/>
      <c r="G18" s="90"/>
      <c r="H18" s="90"/>
      <c r="I18" s="90"/>
      <c r="J18" s="90"/>
      <c r="K18" s="90"/>
      <c r="L18" s="90"/>
      <c r="M18" s="90"/>
      <c r="N18" s="90"/>
      <c r="O18" s="90"/>
    </row>
    <row r="19" spans="1:15">
      <c r="A19" s="90"/>
      <c r="B19" s="90"/>
      <c r="C19" s="90"/>
      <c r="D19" s="90"/>
      <c r="E19" s="90"/>
      <c r="F19" s="90"/>
      <c r="G19" s="90"/>
      <c r="H19" s="90"/>
      <c r="I19" s="90"/>
      <c r="J19" s="90"/>
      <c r="K19" s="90"/>
      <c r="L19" s="90"/>
      <c r="M19" s="90"/>
      <c r="N19" s="90"/>
      <c r="O19" s="90"/>
    </row>
    <row r="20" spans="1:15">
      <c r="A20" s="90"/>
      <c r="B20" s="90"/>
      <c r="C20" s="90"/>
      <c r="D20" s="90"/>
      <c r="E20" s="90"/>
      <c r="F20" s="90"/>
      <c r="G20" s="90"/>
      <c r="H20" s="90"/>
      <c r="I20" s="90"/>
      <c r="J20" s="90"/>
      <c r="K20" s="90"/>
      <c r="L20" s="90"/>
      <c r="M20" s="90"/>
      <c r="N20" s="90"/>
      <c r="O20" s="90"/>
    </row>
    <row r="21" spans="1:15">
      <c r="A21" s="90"/>
      <c r="B21" s="90"/>
      <c r="C21" s="90"/>
      <c r="D21" s="90"/>
      <c r="E21" s="90"/>
      <c r="F21" s="90"/>
      <c r="G21" s="90"/>
      <c r="H21" s="90"/>
      <c r="I21" s="90"/>
      <c r="J21" s="90"/>
      <c r="K21" s="90"/>
      <c r="L21" s="90"/>
      <c r="M21" s="90"/>
      <c r="N21" s="90"/>
      <c r="O21" s="90"/>
    </row>
    <row r="22" spans="1:15">
      <c r="A22" s="64"/>
      <c r="B22" s="64"/>
      <c r="C22" s="64"/>
      <c r="D22" s="64"/>
      <c r="E22" s="64"/>
      <c r="F22" s="64"/>
      <c r="G22" s="64"/>
      <c r="H22" s="64"/>
      <c r="I22" s="64"/>
      <c r="J22" s="64"/>
      <c r="K22" s="64"/>
      <c r="L22" s="64"/>
      <c r="M22" s="64"/>
      <c r="N22" s="64"/>
      <c r="O22" s="64"/>
    </row>
    <row r="23" spans="1:15">
      <c r="A23" s="64"/>
      <c r="B23" s="64"/>
      <c r="C23" s="64"/>
      <c r="D23" s="64"/>
      <c r="E23" s="64"/>
      <c r="F23" s="64"/>
      <c r="G23" s="64"/>
      <c r="H23" s="64"/>
      <c r="I23" s="64"/>
      <c r="J23" s="64"/>
      <c r="K23" s="64"/>
      <c r="L23" s="64"/>
      <c r="M23" s="64"/>
      <c r="N23" s="64"/>
      <c r="O23" s="64"/>
    </row>
    <row r="24" spans="1:15">
      <c r="A24" s="64"/>
      <c r="B24" s="64"/>
      <c r="C24" s="64"/>
      <c r="D24" s="64"/>
      <c r="E24" s="64"/>
      <c r="F24" s="64"/>
      <c r="G24" s="64"/>
      <c r="H24" s="64"/>
      <c r="I24" s="64"/>
      <c r="J24" s="64"/>
      <c r="K24" s="64"/>
      <c r="L24" s="64"/>
      <c r="M24" s="64"/>
      <c r="N24" s="64"/>
      <c r="O24" s="64"/>
    </row>
    <row r="25" spans="1:15">
      <c r="A25" s="64"/>
      <c r="B25" s="64"/>
      <c r="C25" s="64"/>
      <c r="D25" s="64"/>
      <c r="E25" s="64"/>
      <c r="F25" s="64"/>
      <c r="G25" s="64"/>
      <c r="H25" s="64"/>
      <c r="I25" s="64"/>
      <c r="J25" s="64"/>
      <c r="K25" s="64"/>
      <c r="L25" s="64"/>
      <c r="M25" s="64"/>
      <c r="N25" s="64"/>
      <c r="O25" s="64"/>
    </row>
    <row r="26" spans="1:15">
      <c r="A26" s="64"/>
      <c r="B26" s="64"/>
      <c r="C26" s="64"/>
      <c r="D26" s="64"/>
      <c r="E26" s="64"/>
      <c r="F26" s="64"/>
      <c r="G26" s="64"/>
      <c r="H26" s="64"/>
      <c r="I26" s="64"/>
      <c r="J26" s="64"/>
      <c r="K26" s="64"/>
      <c r="L26" s="64"/>
      <c r="M26" s="64"/>
      <c r="N26" s="64"/>
      <c r="O26" s="64"/>
    </row>
    <row r="27" spans="1:15">
      <c r="A27" s="64"/>
      <c r="B27" s="64"/>
      <c r="C27" s="64"/>
      <c r="D27" s="64"/>
      <c r="E27" s="64"/>
      <c r="F27" s="64"/>
      <c r="G27" s="64"/>
      <c r="H27" s="64"/>
      <c r="I27" s="64"/>
      <c r="J27" s="64"/>
      <c r="K27" s="64"/>
      <c r="L27" s="64"/>
      <c r="M27" s="64"/>
      <c r="N27" s="64"/>
      <c r="O27" s="64"/>
    </row>
    <row r="28" spans="1:15">
      <c r="A28" s="64"/>
      <c r="B28" s="64"/>
      <c r="C28" s="64"/>
      <c r="D28" s="64"/>
      <c r="E28" s="64"/>
      <c r="F28" s="64"/>
      <c r="G28" s="64"/>
      <c r="H28" s="64"/>
      <c r="I28" s="64"/>
      <c r="J28" s="64"/>
      <c r="K28" s="64"/>
      <c r="L28" s="64"/>
      <c r="M28" s="64"/>
      <c r="N28" s="64"/>
      <c r="O28" s="64"/>
    </row>
    <row r="29" spans="1:15">
      <c r="A29" s="64"/>
      <c r="B29" s="64"/>
      <c r="C29" s="64"/>
      <c r="D29" s="64"/>
      <c r="E29" s="64"/>
      <c r="F29" s="64"/>
      <c r="G29" s="64"/>
      <c r="H29" s="64"/>
      <c r="I29" s="64"/>
      <c r="J29" s="64"/>
      <c r="K29" s="64"/>
      <c r="L29" s="64"/>
      <c r="M29" s="64"/>
      <c r="N29" s="64"/>
      <c r="O29" s="64"/>
    </row>
  </sheetData>
  <mergeCells count="10">
    <mergeCell ref="A7:C7"/>
    <mergeCell ref="D7:F7"/>
    <mergeCell ref="G7:I7"/>
    <mergeCell ref="J7:L7"/>
    <mergeCell ref="M7:O7"/>
    <mergeCell ref="A1:C1"/>
    <mergeCell ref="D1:F1"/>
    <mergeCell ref="G1:I1"/>
    <mergeCell ref="J1:L1"/>
    <mergeCell ref="M1:O1"/>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13</vt:i4>
      </vt:variant>
    </vt:vector>
  </HeadingPairs>
  <TitlesOfParts>
    <vt:vector size="13" baseType="lpstr">
      <vt:lpstr>ЛИСТ ПЕРСОНАЖА</vt:lpstr>
      <vt:lpstr>Лист1</vt:lpstr>
      <vt:lpstr>Проф. навыки&amp;Снаряжение</vt:lpstr>
      <vt:lpstr>Пошаговая инструкция</vt:lpstr>
      <vt:lpstr>Профессия</vt:lpstr>
      <vt:lpstr>Раса&amp;Родина</vt:lpstr>
      <vt:lpstr>Имена</vt:lpstr>
      <vt:lpstr>Бой голыми руками</vt:lpstr>
      <vt:lpstr>Таблица физ параметров</vt:lpstr>
      <vt:lpstr>Ветки талантов всех професс</vt:lpstr>
      <vt:lpstr>Соц. положение</vt:lpstr>
      <vt:lpstr>Внешность и Ценности</vt:lpstr>
      <vt:lpstr>(архив)</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Jason Rand</dc:creator>
  <cp:keywords/>
  <dc:description/>
  <cp:lastModifiedBy>Кедах Кэд</cp:lastModifiedBy>
  <cp:revision/>
  <cp:lastPrinted>2018-10-09T13:28:39Z</cp:lastPrinted>
  <dcterms:created xsi:type="dcterms:W3CDTF">2018-08-05T13:20:44Z</dcterms:created>
  <dcterms:modified xsi:type="dcterms:W3CDTF">2021-04-03T13:51:08Z</dcterms:modified>
  <cp:category/>
  <cp:contentStatus/>
</cp:coreProperties>
</file>